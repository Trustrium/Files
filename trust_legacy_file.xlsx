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13_ncr:1000001_{A7133798-E821-144A-9F2C-7EBF8C561FEB}" xr6:coauthVersionLast="47" xr6:coauthVersionMax="47" xr10:uidLastSave="{00000000-0000-0000-0000-000000000000}"/>
  <bookViews>
    <workbookView xWindow="0" yWindow="0" windowWidth="0" windowHeight="0" xr2:uid="{00000000-000D-0000-FFFF-FFFF00000000}"/>
  </bookViews>
  <sheets>
    <sheet name="📋 HOW TO USE" sheetId="1" r:id="rId1"/>
    <sheet name="📊 NET WORTH DASHBOARD" sheetId="2" r:id="rId2"/>
    <sheet name="🏦 BANK ACCOUNTS" sheetId="3" r:id="rId3"/>
    <sheet name="📈 INVESTMENTS" sheetId="4" r:id="rId4"/>
    <sheet name="🏠 REAL ESTATE" sheetId="5" r:id="rId5"/>
    <sheet name="🏢 BUSINESS INTERESTS" sheetId="6" r:id="rId6"/>
    <sheet name="💳 LOANS &amp; LIABILITIES" sheetId="7" r:id="rId7"/>
    <sheet name="🛡️ INSURANCE POLICIES" sheetId="8" r:id="rId8"/>
    <sheet name="💰 CASH &amp; EMERGENCY FUNDS" sheetId="9" r:id="rId9"/>
    <sheet name="🔐 LOCKERS &amp; VALUABLES" sheetId="10" r:id="rId10"/>
    <sheet name="💻 DIGITAL ASSETS" sheetId="11" r:id="rId11"/>
    <sheet name="📜 LEGAL DOCUMENTS" sheetId="12" r:id="rId12"/>
    <sheet name="📞 KEY CONTACTS" sheetId="13" r:id="rId13"/>
    <sheet name="🔒 SECURITY GUIDE" sheetId="14" r:id="rId14"/>
    <sheet name="✅ UPDATE CHECKLIST" sheetId="15" r:id="rId1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6dcCAG5x7/58oJl1udrDmgBiIbF0axOLSpEDjQfDOEA="/>
    </ext>
  </extLst>
</workbook>
</file>

<file path=xl/calcChain.xml><?xml version="1.0" encoding="utf-8"?>
<calcChain xmlns="http://schemas.openxmlformats.org/spreadsheetml/2006/main">
  <c r="B12" i="9" l="1"/>
  <c r="B14" i="9"/>
  <c r="D58" i="2"/>
  <c r="F58" i="2"/>
  <c r="C58" i="2"/>
  <c r="E58" i="2"/>
  <c r="F57" i="2"/>
  <c r="E57" i="2"/>
  <c r="D56" i="2"/>
  <c r="F56" i="2"/>
  <c r="F27" i="2"/>
  <c r="C50" i="2"/>
  <c r="C56" i="2"/>
  <c r="E56" i="2"/>
  <c r="F55" i="2"/>
  <c r="E55" i="2"/>
  <c r="F54" i="2"/>
  <c r="E54" i="2"/>
  <c r="F53" i="2"/>
  <c r="E53" i="2"/>
  <c r="F52" i="2"/>
  <c r="E52" i="2"/>
  <c r="F51" i="2"/>
  <c r="E51" i="2"/>
  <c r="F50" i="2"/>
  <c r="E50" i="2"/>
  <c r="F49" i="2"/>
  <c r="E49" i="2"/>
  <c r="F47" i="2"/>
  <c r="E47" i="2"/>
  <c r="D46" i="2"/>
  <c r="F46" i="2"/>
  <c r="C46" i="2"/>
  <c r="E46" i="2"/>
  <c r="F45" i="2"/>
  <c r="E45" i="2"/>
  <c r="F44" i="2"/>
  <c r="E44" i="2"/>
  <c r="F43" i="2"/>
  <c r="E43" i="2"/>
  <c r="F42" i="2"/>
  <c r="E42" i="2"/>
  <c r="F41" i="2"/>
  <c r="E41" i="2"/>
  <c r="C17" i="2"/>
  <c r="C36" i="2"/>
  <c r="C35" i="2"/>
  <c r="D27" i="2"/>
  <c r="C34" i="2"/>
  <c r="D17" i="2"/>
  <c r="C33" i="2"/>
  <c r="C30" i="2"/>
  <c r="C27" i="2"/>
  <c r="C31" i="2"/>
  <c r="C32" i="2"/>
  <c r="E21" i="2"/>
  <c r="E22" i="2"/>
  <c r="E23" i="2"/>
  <c r="E24" i="2"/>
  <c r="E25" i="2"/>
  <c r="E26" i="2"/>
  <c r="E27" i="2"/>
  <c r="E6" i="2"/>
  <c r="E7" i="2"/>
  <c r="E8" i="2"/>
  <c r="E9" i="2"/>
  <c r="E10" i="2"/>
  <c r="E11" i="2"/>
  <c r="E12" i="2"/>
  <c r="E13" i="2"/>
  <c r="E14" i="2"/>
  <c r="E15" i="2"/>
  <c r="E16" i="2"/>
  <c r="E17" i="2"/>
</calcChain>
</file>

<file path=xl/sharedStrings.xml><?xml version="1.0" encoding="utf-8"?>
<sst xmlns="http://schemas.openxmlformats.org/spreadsheetml/2006/main" count="772" uniqueCount="580">
  <si>
    <t>🏛️  FAMILY WEALTH MASTER SHEET  |  EMERGENCY ACCESS SYSTEM</t>
  </si>
  <si>
    <t>⚠️  CONFIDENTIAL — FOR FAMILY USE ONLY — DO NOT SHARE ELECTRONICALLY WITHOUT ENCRYPTION</t>
  </si>
  <si>
    <t>📌  WHAT IS THIS FILE?</t>
  </si>
  <si>
    <t>This file is your family's complete financial command centre. Every bank account, investment, property, business, insurance policy, loan, and legal document is recorded here so that any family member can take control within hours — even without finance knowledge.</t>
  </si>
  <si>
    <t>📂  WHAT IS IN EACH TAB?</t>
  </si>
  <si>
    <t>#</t>
  </si>
  <si>
    <t>Sheet Name</t>
  </si>
  <si>
    <t>What You Will Find</t>
  </si>
  <si>
    <t>When to Use It</t>
  </si>
  <si>
    <t>1</t>
  </si>
  <si>
    <t>📊 NET WORTH DASHBOARD</t>
  </si>
  <si>
    <t>Total wealth snapshot, asset allocation chart</t>
  </si>
  <si>
    <t>Look here FIRST in any emergency</t>
  </si>
  <si>
    <t>2</t>
  </si>
  <si>
    <t>🏦 BANK ACCOUNTS</t>
  </si>
  <si>
    <t>All bank accounts, nominees, access instructions</t>
  </si>
  <si>
    <t>To access cash immediately</t>
  </si>
  <si>
    <t>3</t>
  </si>
  <si>
    <t>📈 INVESTMENTS</t>
  </si>
  <si>
    <t>Stocks, mutual funds, crypto, international</t>
  </si>
  <si>
    <t>To manage or liquidate investments</t>
  </si>
  <si>
    <t>4</t>
  </si>
  <si>
    <t>🏠 REAL ESTATE</t>
  </si>
  <si>
    <t>All properties, values, loans, documents location</t>
  </si>
  <si>
    <t>For property transfers or sales</t>
  </si>
  <si>
    <t>5</t>
  </si>
  <si>
    <t>🏢 BUSINESS INTERESTS</t>
  </si>
  <si>
    <t>Companies, partners, succession plan</t>
  </si>
  <si>
    <t>To continue or wind up business</t>
  </si>
  <si>
    <t>6</t>
  </si>
  <si>
    <t>💳 LOANS &amp; LIABILITIES</t>
  </si>
  <si>
    <t>All outstanding loans, EMIs, insurance links</t>
  </si>
  <si>
    <t>To stop EMIs and manage debt</t>
  </si>
  <si>
    <t>7</t>
  </si>
  <si>
    <t>🛡️ INSURANCE POLICIES</t>
  </si>
  <si>
    <t>All policies, claim process, nominees</t>
  </si>
  <si>
    <t>To file a claim immediately</t>
  </si>
  <si>
    <t>8</t>
  </si>
  <si>
    <t>💰 CASH &amp; EMERGENCY FUNDS</t>
  </si>
  <si>
    <t>Physical cash, locker, emergency reserves</t>
  </si>
  <si>
    <t>First 24-hour cash access</t>
  </si>
  <si>
    <t>9</t>
  </si>
  <si>
    <t>🔐 LOCKERS &amp; VALUABLES</t>
  </si>
  <si>
    <t>Bank lockers, gold, jewellery, physical assets</t>
  </si>
  <si>
    <t>To access physical assets</t>
  </si>
  <si>
    <t>10</t>
  </si>
  <si>
    <t>💻 DIGITAL ASSETS</t>
  </si>
  <si>
    <t>Emails, domains, crypto wallets, social media</t>
  </si>
  <si>
    <t>To manage digital presence</t>
  </si>
  <si>
    <t>11</t>
  </si>
  <si>
    <t>📜 LEGAL DOCUMENTS</t>
  </si>
  <si>
    <t>Will, POA, trusts, document locations</t>
  </si>
  <si>
    <t>For legal succession process</t>
  </si>
  <si>
    <t>12</t>
  </si>
  <si>
    <t>📞 KEY CONTACTS</t>
  </si>
  <si>
    <t>CA, lawyer, advisor, business partners</t>
  </si>
  <si>
    <t>To call the right person fast</t>
  </si>
  <si>
    <t>13</t>
  </si>
  <si>
    <t>🔒 SECURITY GUIDE</t>
  </si>
  <si>
    <t>How to store passwords and protect this file</t>
  </si>
  <si>
    <t>For ongoing file security</t>
  </si>
  <si>
    <t>14</t>
  </si>
  <si>
    <t>✅ UPDATE CHECKLIST</t>
  </si>
  <si>
    <t>Monthly &amp; annual update reminders</t>
  </si>
  <si>
    <t>To keep this file accurate</t>
  </si>
  <si>
    <t>🚨  EMERGENCY PROTOCOL — STEP BY STEP</t>
  </si>
  <si>
    <t>⏱️ PHASE</t>
  </si>
  <si>
    <t>🎯 PRIORITY ACTION</t>
  </si>
  <si>
    <t>📋 WHAT TO DO</t>
  </si>
  <si>
    <t>📞 Who to Call</t>
  </si>
  <si>
    <t>First 24 Hours</t>
  </si>
  <si>
    <t>Access Cash</t>
  </si>
  <si>
    <t>Open 📋 HOW TO USE → Go to 🏦 BANK ACCOUNTS → Find joint account with easiest access</t>
  </si>
  <si>
    <t>Spouse / eldest adult family member</t>
  </si>
  <si>
    <t>Notify Key Contacts</t>
  </si>
  <si>
    <t>Open 📞 KEY CONTACTS tab → Call CA first, then Lawyer, then Wealth Advisor</t>
  </si>
  <si>
    <t>CA &amp; Lawyer (see Key Contacts tab)</t>
  </si>
  <si>
    <t>Secure Digital Access</t>
  </si>
  <si>
    <t>Do NOT share passwords. Access email using the Password Manager instructions</t>
  </si>
  <si>
    <t>Trusted adult family member only</t>
  </si>
  <si>
    <t>First 7 Days</t>
  </si>
  <si>
    <t>Stop Auto-Debits</t>
  </si>
  <si>
    <t>Contact banks to freeze non-essential auto-debits. Keep EMI accounts funded</t>
  </si>
  <si>
    <t>Bank relationship manager</t>
  </si>
  <si>
    <t>File Insurance Claims</t>
  </si>
  <si>
    <t>Open 🛡️ INSURANCE POLICIES → Follow claim steps for each life/term policy</t>
  </si>
  <si>
    <t>Insurance company + advisor</t>
  </si>
  <si>
    <t>Locate Physical Docs</t>
  </si>
  <si>
    <t>Open 📜 LEGAL DOCUMENTS → Find Will and POA → Give to lawyer</t>
  </si>
  <si>
    <t>Lawyer (see Key Contacts tab)</t>
  </si>
  <si>
    <t>Notify Brokers</t>
  </si>
  <si>
    <t>Contact investment platforms about succession. Demat accounts need transmission form</t>
  </si>
  <si>
    <t>Investment advisor</t>
  </si>
  <si>
    <t>First 30 Days</t>
  </si>
  <si>
    <t>Probate / Succession</t>
  </si>
  <si>
    <t>Lawyer will guide Will execution. Do NOT transfer assets without legal advice</t>
  </si>
  <si>
    <t>Lawyer</t>
  </si>
  <si>
    <t>Tax Filings</t>
  </si>
  <si>
    <t>CA will handle any pending tax returns, TDS, corporate tax filings</t>
  </si>
  <si>
    <t>CA (see Key Contacts tab)</t>
  </si>
  <si>
    <t>Business Operations</t>
  </si>
  <si>
    <t>Review 🏢 BUSINESS INTERESTS → Follow succession instructions per company</t>
  </si>
  <si>
    <t>Business partners + CA + Lawyer</t>
  </si>
  <si>
    <t>Update Nominees</t>
  </si>
  <si>
    <t>Update nominees on surviving accounts, policies, and investments</t>
  </si>
  <si>
    <t>CA / Financial Advisor</t>
  </si>
  <si>
    <t>⚠️  GOLDEN RULE: Do NOT make any major financial decisions (sell property, liquidate investments, close business) within the first 30 days without consulting the CA and Lawyer named in the Key Contacts tab.</t>
  </si>
  <si>
    <t>🔒  SECURITY NOTE: This file should be password-protected. The master password should be stored in a sealed envelope with your lawyer AND given verbally to the spouse/eldest child only.</t>
  </si>
  <si>
    <t>📊  NET WORTH DASHBOARD  |  Last Updated: [Enter Date]</t>
  </si>
  <si>
    <t>💡  Instructions: Update the yellow cells monthly. All totals calculate automatically.</t>
  </si>
  <si>
    <t>💰  TOTAL ASSETS — BY CATEGORY</t>
  </si>
  <si>
    <t>Asset Category</t>
  </si>
  <si>
    <t>Current Value (AED)</t>
  </si>
  <si>
    <t>Current Value (INR)</t>
  </si>
  <si>
    <t>% of Total Assets</t>
  </si>
  <si>
    <t>Notes</t>
  </si>
  <si>
    <t>Last Updated</t>
  </si>
  <si>
    <t>Bank Accounts &amp; Liquid Cash</t>
  </si>
  <si>
    <t>Stocks &amp; Demat (India)</t>
  </si>
  <si>
    <t>Mutual Funds</t>
  </si>
  <si>
    <t>PMS / AIF</t>
  </si>
  <si>
    <t>Crypto Assets</t>
  </si>
  <si>
    <t>International Investments</t>
  </si>
  <si>
    <t>Real Estate (Residential)</t>
  </si>
  <si>
    <t>Real Estate (Commercial)</t>
  </si>
  <si>
    <t>Business Interests / Equity</t>
  </si>
  <si>
    <t>Gold / Jewellery / Valuables</t>
  </si>
  <si>
    <t>Other Assets</t>
  </si>
  <si>
    <t>TOTAL ASSETS</t>
  </si>
  <si>
    <t>💳  TOTAL LIABILITIES — BY TYPE</t>
  </si>
  <si>
    <t>Liability Type</t>
  </si>
  <si>
    <t>Outstanding (AED)</t>
  </si>
  <si>
    <t>Outstanding (INR)</t>
  </si>
  <si>
    <t>% of Total Liab.</t>
  </si>
  <si>
    <t>Monthly EMI (AED)</t>
  </si>
  <si>
    <t>Home Loan</t>
  </si>
  <si>
    <t>Car Loan</t>
  </si>
  <si>
    <t>Personal Loan</t>
  </si>
  <si>
    <t>Business Loan</t>
  </si>
  <si>
    <t>Credit Card Outstanding</t>
  </si>
  <si>
    <t>Other Liabilities</t>
  </si>
  <si>
    <t>TOTAL LIABILITIES</t>
  </si>
  <si>
    <t>🏆  NET WORTH SUMMARY</t>
  </si>
  <si>
    <t>Total Assets (AED)</t>
  </si>
  <si>
    <t>Total Liabilities (AED)</t>
  </si>
  <si>
    <t>NET WORTH (AED)</t>
  </si>
  <si>
    <t>Total Assets (INR)</t>
  </si>
  <si>
    <t>Total Liabilities (INR)</t>
  </si>
  <si>
    <t>NET WORTH (INR)</t>
  </si>
  <si>
    <t>Debt-to-Asset Ratio</t>
  </si>
  <si>
    <t>📅  MONTHLY CASH FLOW SNAPSHOT</t>
  </si>
  <si>
    <t>Item</t>
  </si>
  <si>
    <t>AED / Month</t>
  </si>
  <si>
    <t>INR / Month</t>
  </si>
  <si>
    <t>Annual (AED)</t>
  </si>
  <si>
    <t>Annual (INR)</t>
  </si>
  <si>
    <t>INCOME</t>
  </si>
  <si>
    <t>Salary / Professional Income</t>
  </si>
  <si>
    <t>Business Distributions</t>
  </si>
  <si>
    <t>Rental Income</t>
  </si>
  <si>
    <t>Investment Returns / Dividends</t>
  </si>
  <si>
    <t>Other Income</t>
  </si>
  <si>
    <t>TOTAL INCOME</t>
  </si>
  <si>
    <t>EXPENSES</t>
  </si>
  <si>
    <t>Household &amp; Living</t>
  </si>
  <si>
    <t>EMIs (all loans combined)</t>
  </si>
  <si>
    <t>Insurance Premiums</t>
  </si>
  <si>
    <t>Education</t>
  </si>
  <si>
    <t>Travel &amp; Lifestyle</t>
  </si>
  <si>
    <t>Tax Outflows</t>
  </si>
  <si>
    <t>Other Expenses</t>
  </si>
  <si>
    <t>TOTAL EXPENSES</t>
  </si>
  <si>
    <t>MONTHLY SURPLUS / DEFICIT</t>
  </si>
  <si>
    <t>🏦  BANK ACCOUNTS  |  All accounts across India &amp; UAE</t>
  </si>
  <si>
    <t>⚠️  SECURITY: Do NOT store passwords here. Column I shows WHERE to find login credentials, not the credentials themselves.</t>
  </si>
  <si>
    <t>💡  Add a new row for each account. Update balances monthly. Masked format for account numbers: XXXX-XXXX-1234 (last 4 digits only)</t>
  </si>
  <si>
    <t>Bank Name</t>
  </si>
  <si>
    <t>Account Type</t>
  </si>
  <si>
    <t>Account Holder(s)</t>
  </si>
  <si>
    <t>Account No. (Masked)</t>
  </si>
  <si>
    <t>Branch / IFSC</t>
  </si>
  <si>
    <t>Nominee Name</t>
  </si>
  <si>
    <t>Linked Mobile / Email</t>
  </si>
  <si>
    <t>How to Access (Location of Credentials)</t>
  </si>
  <si>
    <t>Notes / Emergency Instructions</t>
  </si>
  <si>
    <t>📊  QUICK BALANCE SUMMARY (Auto-calculated)</t>
  </si>
  <si>
    <t>💡  To get a quick total: In your bank app, note the balance for each account above and enter it in a separate 'Balance (AED)' column you can add.</t>
  </si>
  <si>
    <t>📈  INVESTMENTS  |  Stocks · Mutual Funds · PMS · Crypto · International</t>
  </si>
  <si>
    <t>⚠️  Record Login ID references only — NEVER write passwords here. Update portfolio values quarterly at minimum.</t>
  </si>
  <si>
    <t>🇮🇳  DEMAT ACCOUNTS (Indian Stocks)</t>
  </si>
  <si>
    <t>Investment Type</t>
  </si>
  <si>
    <t>Platform / Broker</t>
  </si>
  <si>
    <t>Account Holder</t>
  </si>
  <si>
    <t>Internal Ref ID</t>
  </si>
  <si>
    <t>Login ID Reference</t>
  </si>
  <si>
    <t>Account / Folio No.</t>
  </si>
  <si>
    <t>Nominee</t>
  </si>
  <si>
    <t>Advisor / Contact</t>
  </si>
  <si>
    <t>Notes &amp; Succession Instructions</t>
  </si>
  <si>
    <t>Equity Stocks</t>
  </si>
  <si>
    <t>Zerodha</t>
  </si>
  <si>
    <t>Rahul Taneja</t>
  </si>
  <si>
    <t>INV001</t>
  </si>
  <si>
    <t>RAXX1234</t>
  </si>
  <si>
    <t>Zerodha - RHXXX</t>
  </si>
  <si>
    <t>Mother: Sunita Taneja</t>
  </si>
  <si>
    <t>Financial Advisor Name | +91-98XXX</t>
  </si>
  <si>
    <t>Login via Kite app on iPhone. Demat: 12345678. DP: NSDL. CS Dept has succession info.</t>
  </si>
  <si>
    <t>ICICI Direct</t>
  </si>
  <si>
    <t>INV002</t>
  </si>
  <si>
    <t>ICXX5678</t>
  </si>
  <si>
    <t>Father: Ramesh Taneja</t>
  </si>
  <si>
    <t>1Password → 'ICICI Direct'</t>
  </si>
  <si>
    <t>Secondary demat. Linked to ICICI NRO account.</t>
  </si>
  <si>
    <t>📊  MUTUAL FUNDS</t>
  </si>
  <si>
    <t>Mutual Fund</t>
  </si>
  <si>
    <t>MF Central / CAMS</t>
  </si>
  <si>
    <t>INV003</t>
  </si>
  <si>
    <t>PAN: AXXXX1234X</t>
  </si>
  <si>
    <t>Linked via PAN</t>
  </si>
  <si>
    <t>Spouse Name</t>
  </si>
  <si>
    <t>MF Central app on iPhone</t>
  </si>
  <si>
    <t>All MFs consolidated under PAN. Nominee updated in 2024. Use MF Central app.</t>
  </si>
  <si>
    <t>Zerodha Coin</t>
  </si>
  <si>
    <t>INV004</t>
  </si>
  <si>
    <t>Same as Zerodha</t>
  </si>
  <si>
    <t>Same as Zerodha above</t>
  </si>
  <si>
    <t>SIP of AED X running. Can pause via app.</t>
  </si>
  <si>
    <t>🏦  PMS / AIF</t>
  </si>
  <si>
    <t>PMS</t>
  </si>
  <si>
    <t>[PMS Provider Name]</t>
  </si>
  <si>
    <t>INV005</t>
  </si>
  <si>
    <t>PMXX001</t>
  </si>
  <si>
    <t>As per agreement</t>
  </si>
  <si>
    <t>Relationship Manager: [Name] | [Mobile]</t>
  </si>
  <si>
    <t>Quarterly report emailed to CA. 3-year lock-in. Contact RM for redemption.</t>
  </si>
  <si>
    <t>₿  CRYPTO ASSETS</t>
  </si>
  <si>
    <t>Crypto</t>
  </si>
  <si>
    <t>Binance</t>
  </si>
  <si>
    <t>INV006</t>
  </si>
  <si>
    <t>Email registered</t>
  </si>
  <si>
    <t>Cold wallet + Binance</t>
  </si>
  <si>
    <t>Self (no nominee – see Notes)</t>
  </si>
  <si>
    <t>Hardware wallet in BANK LOCKER (see Lockers tab). Seed phrase in sealed envelope with lawyer.</t>
  </si>
  <si>
    <t>IMPORTANT: Hardware wallet in safe. Seed phrase split — see Lawyer. Do NOT share seed phrase digitally.</t>
  </si>
  <si>
    <t>WazirX / CoinDCX</t>
  </si>
  <si>
    <t>INV007</t>
  </si>
  <si>
    <t>Mobile registered</t>
  </si>
  <si>
    <t>App on iPhone</t>
  </si>
  <si>
    <t>Same as above</t>
  </si>
  <si>
    <t>1Password → 'WazirX'</t>
  </si>
  <si>
    <t>Indian crypto exchange. KYC linked to PAN.</t>
  </si>
  <si>
    <t>🌍  INTERNATIONAL INVESTMENTS</t>
  </si>
  <si>
    <t>US Stocks / ETFs</t>
  </si>
  <si>
    <t>Interactive Brokers / Vested</t>
  </si>
  <si>
    <t>INV008</t>
  </si>
  <si>
    <t>1Password → 'IBKR'</t>
  </si>
  <si>
    <t>W-8BEN filed. Schedule FA disclosure required in India ITR. CA handles.</t>
  </si>
  <si>
    <t>Gift City Fund / IFSC</t>
  </si>
  <si>
    <t>[Fund Name]</t>
  </si>
  <si>
    <t>INV009</t>
  </si>
  <si>
    <t>IFSC account no.</t>
  </si>
  <si>
    <t>Contact: Fund manager [Name]</t>
  </si>
  <si>
    <t>GIFT City, Gujarat. FEMA compliant. Annual reporting done by CA.</t>
  </si>
  <si>
    <t>🔑  CRYPTO EMERGENCY PROTOCOL: Hardware wallet is in the bank locker (see 🔐 LOCKERS tab). The seed phrase is split into 2 parts — Part 1 with Lawyer, Part 2 in sealed envelope with spouse. NEVER store both parts together.</t>
  </si>
  <si>
    <t>🏠  REAL ESTATE  |  All Properties — India &amp; UAE</t>
  </si>
  <si>
    <t>💡  Update Current Value annually (use registered valuer). Ensure all sale deeds and title documents are filed correctly. Location of physical documents is critical.</t>
  </si>
  <si>
    <t>Property Name / Description</t>
  </si>
  <si>
    <t>Type</t>
  </si>
  <si>
    <t>Location / Address</t>
  </si>
  <si>
    <t>Ownership Structure</t>
  </si>
  <si>
    <t>Purchase Value</t>
  </si>
  <si>
    <t>Purchase Year</t>
  </si>
  <si>
    <t>Current Est. Value</t>
  </si>
  <si>
    <t>Linked Loan?</t>
  </si>
  <si>
    <t>Rental Income p.m.</t>
  </si>
  <si>
    <t>Documents Location &amp; Legal Status</t>
  </si>
  <si>
    <t>Dubai Marina Apt – 2BHK</t>
  </si>
  <si>
    <t>Residential</t>
  </si>
  <si>
    <t>Dubai Marina, Dubai – Unit XXX</t>
  </si>
  <si>
    <t>Self (Freehold)</t>
  </si>
  <si>
    <t>AED 1,800,000</t>
  </si>
  <si>
    <t>2021</t>
  </si>
  <si>
    <t>AED 2,200,000</t>
  </si>
  <si>
    <t>Yes – Emirates NBD (see Loans tab)</t>
  </si>
  <si>
    <t>AED 8,000</t>
  </si>
  <si>
    <t>Title deed in home safe. DLD registration #XXXX. No encumbrances except mortgage.</t>
  </si>
  <si>
    <t>Andheri Flat – 3BHK</t>
  </si>
  <si>
    <t>Andheri West, Mumbai – Flat XXX</t>
  </si>
  <si>
    <t>Joint (Self + Spouse)</t>
  </si>
  <si>
    <t>INR 1,20,00,000</t>
  </si>
  <si>
    <t>2018</t>
  </si>
  <si>
    <t>INR 1,80,00,000</t>
  </si>
  <si>
    <t>No</t>
  </si>
  <si>
    <t>INR 30,000</t>
  </si>
  <si>
    <t>Original sale deed with lawyer [Name]. Society share certificate in home locker. OC received.</t>
  </si>
  <si>
    <t>Commercial Shop – Vile Parle</t>
  </si>
  <si>
    <t>Commercial</t>
  </si>
  <si>
    <t>Vile Parle, Mumbai – Shop #5</t>
  </si>
  <si>
    <t>Self</t>
  </si>
  <si>
    <t>INR 45,00,000</t>
  </si>
  <si>
    <t>2015</t>
  </si>
  <si>
    <t>INR 72,00,000</t>
  </si>
  <si>
    <t>INR 18,000</t>
  </si>
  <si>
    <t>Registered lease deed with CA. Shop Act license renewed annually. Property tax paid.</t>
  </si>
  <si>
    <t>Plot – [City]</t>
  </si>
  <si>
    <t>Land</t>
  </si>
  <si>
    <t>[City, State]</t>
  </si>
  <si>
    <t>HUF / Self</t>
  </si>
  <si>
    <t>INR 25,00,000</t>
  </si>
  <si>
    <t>2019</t>
  </si>
  <si>
    <t>INR 35,00,000</t>
  </si>
  <si>
    <t>Nil</t>
  </si>
  <si>
    <t>Original documents with lawyer. Survey number: XXXXX. Agricultural land — verify conversion status with lawyer before sale.</t>
  </si>
  <si>
    <t>⚠️  LEGAL NOTE: Real estate cannot be transferred without probate (if no Will) or Letters of Administration. Ensure Will is registered and covers all properties listed here. Consult lawyer within 7 days of any emergency.</t>
  </si>
  <si>
    <t>📌  UAE PROPERTY: DLD (Dubai Land Department) handles transfers. A registered Will at DIFC Courts or Notary Public is strongly recommended for UAE property.</t>
  </si>
  <si>
    <t>🏢  BUSINESS INTERESTS  |  Companies, Partnerships &amp; Equity Stakes</t>
  </si>
  <si>
    <t>⚠️  CRITICAL: Business succession must be pre-planned. A shareholder agreement or Will clause covering each entity is essential. Review with lawyer annually.</t>
  </si>
  <si>
    <t>Company / Entity Name</t>
  </si>
  <si>
    <t>Structure</t>
  </si>
  <si>
    <t>Jurisdiction</t>
  </si>
  <si>
    <t>Ownership %</t>
  </si>
  <si>
    <t>Co-owners / Partners</t>
  </si>
  <si>
    <t>Est. Business Value</t>
  </si>
  <si>
    <t>Key Contacts (CA, Lawyer)</t>
  </si>
  <si>
    <t>Documents Location</t>
  </si>
  <si>
    <t>Succession Instructions</t>
  </si>
  <si>
    <t>🔑  PRIORITY ACTION: If sole proprietorships / sole-owner LLCs are not addressed in the Will, business assets may be frozen. Ensure your lawyer has a pre-drafted board/partner resolution for emergency situations.</t>
  </si>
  <si>
    <t>💳  LOANS &amp; LIABILITIES  |  All Outstanding Debt</t>
  </si>
  <si>
    <t>⚠️  CRITICAL: EMIs will auto-debit even after death. Ensure the CA and lawyer are notified immediately so banks can be instructed. Check if loan is covered by insurance — see Column I.</t>
  </si>
  <si>
    <t>Loan Type &amp; Purpose</t>
  </si>
  <si>
    <t>Lender / Bank</t>
  </si>
  <si>
    <t>Account / Loan No. (Masked)</t>
  </si>
  <si>
    <t>Outstanding Amount</t>
  </si>
  <si>
    <t>Monthly EMI</t>
  </si>
  <si>
    <t>Interest Rate</t>
  </si>
  <si>
    <t>Loan End Date</t>
  </si>
  <si>
    <t>Covered by Insurance?</t>
  </si>
  <si>
    <t>Insurance Policy Ref.</t>
  </si>
  <si>
    <t>Closure / Emergency Instructions</t>
  </si>
  <si>
    <t>💡  TOTAL LIABILITY: Reference 📊 NET WORTH DASHBOARD for the auto-calculated total. Update outstanding amounts here whenever you receive a loan statement.</t>
  </si>
  <si>
    <t>🛡️  INSURANCE POLICIES  |  Life · Health · Term · Vehicle · Property</t>
  </si>
  <si>
    <t>⚠️  ACTION ON DEATH: Contact all life/term insurance providers within 7 days. Nominee must submit death certificate + claim form. CA and advisor can assist.</t>
  </si>
  <si>
    <t>Policy Type</t>
  </si>
  <si>
    <t>Insurance Provider</t>
  </si>
  <si>
    <t>Policy Number</t>
  </si>
  <si>
    <t>Sum Assured / Cover</t>
  </si>
  <si>
    <t>Annual Premium</t>
  </si>
  <si>
    <t>Premium Due Date</t>
  </si>
  <si>
    <t>Policy Document Location</t>
  </si>
  <si>
    <t>Claim Process Steps</t>
  </si>
  <si>
    <t>📅  RENEWAL ALERT: Add all premium due dates to your phone calendar with a 30-day advance reminder. A lapsed term plan means zero claim payout.</t>
  </si>
  <si>
    <t>💰  CASH &amp; EMERGENCY FUNDS  |  Liquid Reserve Tracker</t>
  </si>
  <si>
    <t>🎯  TARGET: Maintain minimum 6 months of family expenses as liquid emergency reserve. Do NOT keep large cash at home — use bank accounts and liquid mutual funds.</t>
  </si>
  <si>
    <t>Cash / Reserve Type</t>
  </si>
  <si>
    <t>Currency</t>
  </si>
  <si>
    <t>Amount</t>
  </si>
  <si>
    <t>Where Is It Stored?</t>
  </si>
  <si>
    <t>Who Has Access?</t>
  </si>
  <si>
    <t>Notes / Instructions</t>
  </si>
  <si>
    <t>📊  EMERGENCY FUND TARGET vs ACTUAL</t>
  </si>
  <si>
    <t>Monthly Family Expenses (AED)</t>
  </si>
  <si>
    <t>← Enter your monthly total here (blue cell)</t>
  </si>
  <si>
    <t>Target Emergency Fund (6 months)</t>
  </si>
  <si>
    <t>Actual Liquid Reserves (AED)</t>
  </si>
  <si>
    <t>← Enter total liquid reserves here (blue cell)</t>
  </si>
  <si>
    <t>Buffer / Shortfall</t>
  </si>
  <si>
    <t>Positive = covered | Negative = SHORTFALL — act immediately</t>
  </si>
  <si>
    <t>🔐  LOCKERS &amp; VALUABLES  |  Physical Assets, Gold, Bank Lockers</t>
  </si>
  <si>
    <t>⚠️  Access to bank lockers is frozen on death until legal heir certificate / succession order is obtained. Alert the CA and lawyer within 48 hours.</t>
  </si>
  <si>
    <t>Item / Location</t>
  </si>
  <si>
    <t>Bank / Location</t>
  </si>
  <si>
    <t>Locker No. / Location Details</t>
  </si>
  <si>
    <t>Estimated Value</t>
  </si>
  <si>
    <t>Access Instructions &amp; Documents Required</t>
  </si>
  <si>
    <t>💻  DIGITAL ASSETS  |  Emails · Domains · Crypto · Social Media · Subscriptions</t>
  </si>
  <si>
    <t>⚠️  NEVER write passwords in this sheet. Column E shows the ACCESS METHOD — how to find credentials (password manager vault name, device, trusted person). Credentials go ONLY in 1Password or similar.</t>
  </si>
  <si>
    <t>📧  EMAIL ACCOUNTS</t>
  </si>
  <si>
    <t>Category / Type</t>
  </si>
  <si>
    <t>Platform</t>
  </si>
  <si>
    <t>Username / ID</t>
  </si>
  <si>
    <t>Access Method (Where to Find Credentials)</t>
  </si>
  <si>
    <t>Monthly Cost (AED)</t>
  </si>
  <si>
    <t>Notes &amp; Emergency Instructions</t>
  </si>
  <si>
    <t>🌐  DOMAINS &amp; WEBSITES</t>
  </si>
  <si>
    <t>📱  SOCIAL MEDIA ACCOUNTS</t>
  </si>
  <si>
    <t>💳  PAID SUBSCRIPTIONS (Recurring)</t>
  </si>
  <si>
    <t>🔐  CRYPTO / DEFI ACCOUNTS</t>
  </si>
  <si>
    <t>🔑  PASSWORD MANAGER RECOMMENDATION: Use 1Password (recommended) or Bitwarden. The master password should be given verbally to your spouse and lawyer. Never write the master password in this sheet.</t>
  </si>
  <si>
    <t>📜  LEGAL DOCUMENTS  |  Will · Power of Attorney · Trust · Succession</t>
  </si>
  <si>
    <t>⚠️  MOST CRITICAL SHEET after Bank Accounts. A registered Will is the single most important document in this entire file. If missing — create it this week.</t>
  </si>
  <si>
    <t>Document Type</t>
  </si>
  <si>
    <t>Status</t>
  </si>
  <si>
    <t>Date Executed</t>
  </si>
  <si>
    <t>Where is the Original?</t>
  </si>
  <si>
    <t>Lawyer / Notary Contact &amp; Instructions</t>
  </si>
  <si>
    <t>✅  CHECKLIST: (1) DIFC Will registered? (2) India Will registered? (3) POAs updated in last 2 years? (4) Nominees updated on all investments? (5) Company succession covered in SHA? Review annually on your birthday.</t>
  </si>
  <si>
    <t>📞  KEY CONTACTS  |  Call These People First in Any Emergency</t>
  </si>
  <si>
    <t>🚨  PRIORITY ORDER IN EMERGENCY: (1) Spouse / Eldest Adult → (2) CA (UAE) → (3) Lawyer → (4) CA (India) → (5) Wealth/Investment Advisor → (6) Business Partners</t>
  </si>
  <si>
    <t>Priority</t>
  </si>
  <si>
    <t>Role</t>
  </si>
  <si>
    <t>Full Name</t>
  </si>
  <si>
    <t>Mobile / WhatsApp</t>
  </si>
  <si>
    <t>Email Address</t>
  </si>
  <si>
    <t>Firm / Company</t>
  </si>
  <si>
    <t>What They Handle &amp; Notes</t>
  </si>
  <si>
    <t>🥇 #1</t>
  </si>
  <si>
    <t>CA – UAE (Tax &amp; Accounts)</t>
  </si>
  <si>
    <t>[CA Name]</t>
  </si>
  <si>
    <t>[Mobile]</t>
  </si>
  <si>
    <t>[Email]</t>
  </si>
  <si>
    <t>Finpire Global / [Firm Name]</t>
  </si>
  <si>
    <t>UAE Corporate Tax, VAT, Zoho Books, all UAE financial matters. Has POA for some UAE operations.</t>
  </si>
  <si>
    <t>Lawyer – UAE (Legal &amp; Will)</t>
  </si>
  <si>
    <t>[Lawyer Name]</t>
  </si>
  <si>
    <t>[Law Firm Name], Dubai</t>
  </si>
  <si>
    <t>DIFC Will, UAE POA, company legal matters. Has original Will and company documents.</t>
  </si>
  <si>
    <t>🥈 #2</t>
  </si>
  <si>
    <t>CA – India (Tax &amp; Compliance)</t>
  </si>
  <si>
    <t>[India CA Name]</t>
  </si>
  <si>
    <t>[Firm Name], Mumbai</t>
  </si>
  <si>
    <t>ITR filing, GST, TDS, ROC filings, Finpire Capital, Finpire Investments. Has India POA.</t>
  </si>
  <si>
    <t>CS – India (Company Secretary)</t>
  </si>
  <si>
    <t>[CS Name]</t>
  </si>
  <si>
    <t>MCA filings, board resolutions, share transfers for Indian companies.</t>
  </si>
  <si>
    <t>🥉 #3</t>
  </si>
  <si>
    <t>Investment / Wealth Advisor</t>
  </si>
  <si>
    <t>[Advisor Name]</t>
  </si>
  <si>
    <t>[Wealth Management Firm]</t>
  </si>
  <si>
    <t>PMS, AIF, mutual fund advisor. Has know-how of full portfolio. Contact for succession of investments.</t>
  </si>
  <si>
    <t>Stock Broker – India (Zerodha)</t>
  </si>
  <si>
    <t>[Relationship Manager]</t>
  </si>
  <si>
    <t>Demat account, stock transmission on death. Contact for NOD (Non-objection declaration) process.</t>
  </si>
  <si>
    <t>Insurance Advisor / Broker</t>
  </si>
  <si>
    <t>[Name]</t>
  </si>
  <si>
    <t>[Firm]</t>
  </si>
  <si>
    <t>Handles all UAE insurance policies. Can facilitate claims. Has policy copies.</t>
  </si>
  <si>
    <t>Business Partner – [Company]</t>
  </si>
  <si>
    <t>[Partner Name]</t>
  </si>
  <si>
    <t>[Company Name]</t>
  </si>
  <si>
    <t>Key operational partner. Refer to SHA for rights. Contact if business operations need continuity.</t>
  </si>
  <si>
    <t>Family Doctor – UAE</t>
  </si>
  <si>
    <t>[Doctor Name]</t>
  </si>
  <si>
    <t>[Clinic / Hospital]</t>
  </si>
  <si>
    <t>For medical emergencies. Has health records.</t>
  </si>
  <si>
    <t>Spouse</t>
  </si>
  <si>
    <t>Family</t>
  </si>
  <si>
    <t>Primary emergency contact. Has access to home safe, bank accounts (joint), and knows verbal passwords.</t>
  </si>
  <si>
    <t>Parent / Sibling</t>
  </si>
  <si>
    <t>Secondary family contact for India matters.</t>
  </si>
  <si>
    <t>Emirates ID / Visa PRO</t>
  </si>
  <si>
    <t>[PRO Name]</t>
  </si>
  <si>
    <t>[PRO Service]</t>
  </si>
  <si>
    <t>Handles visa renewals, trade licence renewals, Emirates ID. Critical for business continuity.</t>
  </si>
  <si>
    <t>📱  SAVE TO PHONE: Export this sheet to PDF and save the first 3 contacts in your phone under 'ICE (In Case of Emergency)' prefix so family can find them instantly.</t>
  </si>
  <si>
    <t>🔒  SECURITY GUIDE  |  How to Store Passwords &amp; Protect This File</t>
  </si>
  <si>
    <t>Rule</t>
  </si>
  <si>
    <t>Security Principle</t>
  </si>
  <si>
    <t>What to Do</t>
  </si>
  <si>
    <t>RULE #1</t>
  </si>
  <si>
    <t>NEVER store passwords in this file</t>
  </si>
  <si>
    <t>This entire sheet is for LOCATIONS and ACCESS METHODS — not actual passwords. If a password is written here, delete it immediately.</t>
  </si>
  <si>
    <t>CRITICAL</t>
  </si>
  <si>
    <t>RULE #2</t>
  </si>
  <si>
    <t>Use a Password Manager</t>
  </si>
  <si>
    <t>Recommended: 1Password (best for families) or Bitwarden (free). Store ALL passwords, PINs, and 2FA recovery codes there. Master password: tell spouse verbally only.</t>
  </si>
  <si>
    <t>IMMEDIATE ACTION</t>
  </si>
  <si>
    <t>RULE #3</t>
  </si>
  <si>
    <t>Protect this Excel file itself</t>
  </si>
  <si>
    <t>Password-protect this file: File → Protect Workbook → Enter strong password. Store file password in 1Password AND in a sealed physical letter with your lawyer.</t>
  </si>
  <si>
    <t>DONE/TO DO</t>
  </si>
  <si>
    <t>RULE #4</t>
  </si>
  <si>
    <t>Control who can VIEW vs EDIT</t>
  </si>
  <si>
    <t>Share VIEW ONLY access with spouse via Google Sheets. Only you should have EDIT access. For Google Sheets: Share → Set to 'Viewer' for family.</t>
  </si>
  <si>
    <t>ACCESS CONTROL</t>
  </si>
  <si>
    <t>RULE #5</t>
  </si>
  <si>
    <t>Split sensitive information</t>
  </si>
  <si>
    <t>Never put all sensitive info in one place. This file = structure. 1Password = credentials. Physical locker = hardware assets. Lawyer = seed phrases and Will.</t>
  </si>
  <si>
    <t>INFORMATION SPLIT</t>
  </si>
  <si>
    <t>RULE #6</t>
  </si>
  <si>
    <t>Annual security review</t>
  </si>
  <si>
    <t>Every January: update this file, review all nominees, change critical passwords, renew POAs, and confirm lawyer has latest Will version.</t>
  </si>
  <si>
    <t>ANNUAL REVIEW</t>
  </si>
  <si>
    <t>RULE #7</t>
  </si>
  <si>
    <t>Two-Factor Authentication (2FA)</t>
  </si>
  <si>
    <t>Enable 2FA on ALL financial accounts (bank, broker, crypto, email). Recovery codes go in 1Password. Backup device: spouse's phone for recovery.</t>
  </si>
  <si>
    <t>SECURITY HYGIENE</t>
  </si>
  <si>
    <t>RULE #8</t>
  </si>
  <si>
    <t>Backup this file in 3 places</t>
  </si>
  <si>
    <t>1) Encrypted Google Drive folder (shared with spouse). 2) Encrypted USB in bank locker. 3) Printed copy (last resort) in home safe — update annually.</t>
  </si>
  <si>
    <t>3-2-1 BACKUP RULE</t>
  </si>
  <si>
    <t>📋  RECOMMENDED TOOLS</t>
  </si>
  <si>
    <t>Tool</t>
  </si>
  <si>
    <t>Purpose</t>
  </si>
  <si>
    <t>Why Recommended</t>
  </si>
  <si>
    <t>Cost</t>
  </si>
  <si>
    <t>1Password</t>
  </si>
  <si>
    <t>Password Manager</t>
  </si>
  <si>
    <t>Best family sharing features, travel mode, emergency kit</t>
  </si>
  <si>
    <t>~$3/month/user</t>
  </si>
  <si>
    <t>Bitwarden</t>
  </si>
  <si>
    <t>Password Manager (alternative)</t>
  </si>
  <si>
    <t>Free, open-source, very secure</t>
  </si>
  <si>
    <t>Free / $1 per month</t>
  </si>
  <si>
    <t>Google Drive</t>
  </si>
  <si>
    <t>Encrypted File Storage</t>
  </si>
  <si>
    <t>Easy family sharing, 2TB plan</t>
  </si>
  <si>
    <t>~$3/month</t>
  </si>
  <si>
    <t>VeraCrypt</t>
  </si>
  <si>
    <t>File Encryption</t>
  </si>
  <si>
    <t>Encrypt sensitive folders before uploading to cloud</t>
  </si>
  <si>
    <t>Free</t>
  </si>
  <si>
    <t>Authy / Google Authenticator</t>
  </si>
  <si>
    <t>2FA App</t>
  </si>
  <si>
    <t>Secure 2FA codes for all accounts</t>
  </si>
  <si>
    <t>✅  UPDATE CHECKLIST  |  Monthly, Quarterly &amp; Annual Reviews</t>
  </si>
  <si>
    <t>💡  Treat this file as a living document. An outdated wealth sheet is dangerous. Block 30 minutes every month-end and 2 hours every January for the annual review.</t>
  </si>
  <si>
    <t>Frequency</t>
  </si>
  <si>
    <t>Task</t>
  </si>
  <si>
    <t>Which Sheet to Update</t>
  </si>
  <si>
    <t>Done? (Y/N)</t>
  </si>
  <si>
    <t>Last Done On</t>
  </si>
  <si>
    <t>Reminder Note</t>
  </si>
  <si>
    <t>📅 MONTHLY</t>
  </si>
  <si>
    <t>Update bank account balances</t>
  </si>
  <si>
    <t>Check each account balance via banking app</t>
  </si>
  <si>
    <t>Update investment portfolio values</t>
  </si>
  <si>
    <t>Use broker app or statement</t>
  </si>
  <si>
    <t>Log any new loans or liabilities</t>
  </si>
  <si>
    <t>Include credit card outstanding if any</t>
  </si>
  <si>
    <t>Update cash &amp; emergency fund balance</t>
  </si>
  <si>
    <t>Ensure minimum 6-month target maintained</t>
  </si>
  <si>
    <t>Check policy premium due dates (next 60 days)</t>
  </si>
  <si>
    <t>Set phone reminders for upcoming premiums</t>
  </si>
  <si>
    <t>Update NET WORTH DASHBOARD totals</t>
  </si>
  <si>
    <t>Recalculate net worth after all updates above</t>
  </si>
  <si>
    <t>Review monthly expenses vs budget</t>
  </si>
  <si>
    <t>Check surplus / deficit trend</t>
  </si>
  <si>
    <t>📆 QUARTERLY</t>
  </si>
  <si>
    <t>Get investment portfolio statement from advisor</t>
  </si>
  <si>
    <t>Request formal statement + update value column</t>
  </si>
  <si>
    <t>Review real estate estimated value</t>
  </si>
  <si>
    <t>Use local property portals for reference</t>
  </si>
  <si>
    <t>Check loan outstanding balances</t>
  </si>
  <si>
    <t>Compare with loan statement received from bank</t>
  </si>
  <si>
    <t>Review digital subscriptions — cancel unused</t>
  </si>
  <si>
    <t>Avoid subscription leakage</t>
  </si>
  <si>
    <t>Verify all nominees are updated on investments</t>
  </si>
  <si>
    <t>Critical after any family change (birth, marriage)</t>
  </si>
  <si>
    <t>🗓️ ANNUALLY</t>
  </si>
  <si>
    <t>Full net worth review — all assets &amp; liabilities</t>
  </si>
  <si>
    <t>Do on birthday or 1st January</t>
  </si>
  <si>
    <t>Review and update Will (UAE + India)</t>
  </si>
  <si>
    <t>Mandatory after any major life event</t>
  </si>
  <si>
    <t>Renew or review POAs</t>
  </si>
  <si>
    <t>Confirm POAs are still valid and relevant</t>
  </si>
  <si>
    <t>Review business succession instructions</t>
  </si>
  <si>
    <t>Update if partners/directors/ownership changed</t>
  </si>
  <si>
    <t>Update all emergency contact details</t>
  </si>
  <si>
    <t>Verify mobile, email, and firm of all contacts</t>
  </si>
  <si>
    <t>Change master passwords for financial accounts</t>
  </si>
  <si>
    <t>Once a year at minimum</t>
  </si>
  <si>
    <t>Back up this file in all 3 locations</t>
  </si>
  <si>
    <t>Google Drive + USB locker + home safe print</t>
  </si>
  <si>
    <t>Review insurance coverage — any gaps?</t>
  </si>
  <si>
    <t>Life stage changes may need cover increase</t>
  </si>
  <si>
    <t>Review real estate property tax, rental agreements</t>
  </si>
  <si>
    <t>Ensure no legal/compliance issues</t>
  </si>
  <si>
    <t>Tax filing review — India + UAE</t>
  </si>
  <si>
    <t>ITR due July 31 (India). UAE CT due 9 months after FYE.</t>
  </si>
  <si>
    <t>⚡ ON MAJOR EVENT</t>
  </si>
  <si>
    <t>Update file after any major purchase / sale</t>
  </si>
  <si>
    <t>All relevant sheets</t>
  </si>
  <si>
    <t>Property, business stake, large investment</t>
  </si>
  <si>
    <t>Update nominees after birth / marriage / death</t>
  </si>
  <si>
    <t>📈 INVESTMENTS + 🛡️ INSURANCE</t>
  </si>
  <si>
    <t>Critical legal obligation — do within 30 days</t>
  </si>
  <si>
    <t>Update Will after any major life change</t>
  </si>
  <si>
    <t>New child, property, business, or family change</t>
  </si>
  <si>
    <t>📌  PRO TIP: Set a recurring calendar reminder every 1st of the month titled 'Update Wealth Sheet' for 30 minutes. Every 1st January, block 2 hours for the annual review. Treat it like a board meeting for your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</si>
</sst>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scheme val="minor"/>
    </font>
    <font>
      <b/>
      <sz val="16"/>
      <color rgb="FFFFFFFF"/>
      <name val="Arial"/>
    </font>
    <font>
      <sz val="11"/>
      <name val="Calibri"/>
    </font>
    <font>
      <b/>
      <sz val="10"/>
      <color rgb="FFFFFFFF"/>
      <name val="Arial"/>
    </font>
    <font>
      <b/>
      <sz val="12"/>
      <color rgb="FF1A2744"/>
      <name val="Arial"/>
    </font>
    <font>
      <sz val="10"/>
      <color rgb="FF4A4A4A"/>
      <name val="Arial"/>
    </font>
    <font>
      <b/>
      <sz val="10"/>
      <color rgb="FF1A2744"/>
      <name val="Arial"/>
    </font>
    <font>
      <sz val="9"/>
      <color rgb="FF4A4A4A"/>
      <name val="Arial"/>
    </font>
    <font>
      <i/>
      <sz val="10"/>
      <color rgb="FFC0392B"/>
      <name val="Arial"/>
    </font>
    <font>
      <i/>
      <sz val="9"/>
      <color rgb="FF4A4A4A"/>
      <name val="Arial"/>
    </font>
    <font>
      <b/>
      <sz val="14"/>
      <color rgb="FFFFFFFF"/>
      <name val="Arial"/>
    </font>
    <font>
      <sz val="11"/>
      <color theme="1"/>
      <name val="Calibri"/>
    </font>
    <font>
      <sz val="10"/>
      <color rgb="FF0000FF"/>
      <name val="Arial"/>
    </font>
    <font>
      <b/>
      <sz val="11"/>
      <color rgb="FFFFFFFF"/>
      <name val="Arial"/>
    </font>
    <font>
      <b/>
      <sz val="11"/>
      <color rgb="FF1A2744"/>
      <name val="Arial"/>
    </font>
    <font>
      <b/>
      <sz val="12"/>
      <color rgb="FF1E8449"/>
      <name val="Arial"/>
    </font>
    <font>
      <b/>
      <sz val="12"/>
      <color rgb="FFFFFFFF"/>
      <name val="Arial"/>
    </font>
    <font>
      <b/>
      <sz val="13"/>
      <color rgb="FFFFFFFF"/>
      <name val="Arial"/>
    </font>
    <font>
      <i/>
      <sz val="9"/>
      <color rgb="FFC0392B"/>
      <name val="Arial"/>
    </font>
    <font>
      <b/>
      <sz val="9"/>
      <color rgb="FF1A2744"/>
      <name val="Arial"/>
    </font>
    <font>
      <b/>
      <sz val="10"/>
      <color rgb="FF4A4A4A"/>
      <name val="Arial"/>
    </font>
    <font>
      <i/>
      <sz val="9"/>
      <color rgb="FF1A2744"/>
      <name val="Arial"/>
    </font>
    <font>
      <b/>
      <sz val="9"/>
      <color rgb="FFC0392B"/>
      <name val="Arial"/>
    </font>
    <font>
      <sz val="9"/>
      <color rgb="FFC0392B"/>
      <name val="Arial"/>
    </font>
    <font>
      <b/>
      <sz val="9"/>
      <color rgb="FF4A4A4A"/>
      <name val="Arial"/>
    </font>
    <font>
      <b/>
      <sz val="9"/>
      <color theme="1"/>
      <name val="Arial"/>
    </font>
    <font>
      <sz val="9"/>
      <color theme="1"/>
      <name val="Arial"/>
    </font>
  </fonts>
  <fills count="12">
    <fill>
      <patternFill patternType="none"/>
    </fill>
    <fill>
      <patternFill patternType="gray125"/>
    </fill>
    <fill>
      <patternFill patternType="solid">
        <fgColor rgb="FF1A2744"/>
        <bgColor rgb="FF1A2744"/>
      </patternFill>
    </fill>
    <fill>
      <patternFill patternType="solid">
        <fgColor rgb="FFC0392B"/>
        <bgColor rgb="FFC0392B"/>
      </patternFill>
    </fill>
    <fill>
      <patternFill patternType="solid">
        <fgColor rgb="FFC9A84C"/>
        <bgColor rgb="FFC9A84C"/>
      </patternFill>
    </fill>
    <fill>
      <patternFill patternType="solid">
        <fgColor rgb="FFFFFFFF"/>
        <bgColor rgb="FFFFFFFF"/>
      </patternFill>
    </fill>
    <fill>
      <patternFill patternType="solid">
        <fgColor rgb="FFF5F5F5"/>
        <bgColor rgb="FFF5F5F5"/>
      </patternFill>
    </fill>
    <fill>
      <patternFill patternType="solid">
        <fgColor rgb="FFFDEDEC"/>
        <bgColor rgb="FFFDEDEC"/>
      </patternFill>
    </fill>
    <fill>
      <patternFill patternType="solid">
        <fgColor rgb="FFEBF4FB"/>
        <bgColor rgb="FFEBF4FB"/>
      </patternFill>
    </fill>
    <fill>
      <patternFill patternType="solid">
        <fgColor rgb="FFEAFAF1"/>
        <bgColor rgb="FFEAFAF1"/>
      </patternFill>
    </fill>
    <fill>
      <patternFill patternType="solid">
        <fgColor rgb="FFF0DFA0"/>
        <bgColor rgb="FFF0DFA0"/>
      </patternFill>
    </fill>
    <fill>
      <patternFill patternType="solid">
        <fgColor rgb="FF4A235B"/>
        <bgColor rgb="FF4A235B"/>
      </patternFill>
    </fill>
  </fills>
  <borders count="13">
    <border>
      <left/>
      <right/>
      <top/>
      <bottom/>
      <diagonal/>
    </border>
    <border>
      <left style="medium">
        <color rgb="FF1A2744"/>
      </left>
      <right/>
      <top style="medium">
        <color rgb="FF1A2744"/>
      </top>
      <bottom style="medium">
        <color rgb="FF1A2744"/>
      </bottom>
      <diagonal/>
    </border>
    <border>
      <left/>
      <right/>
      <top style="medium">
        <color rgb="FF1A2744"/>
      </top>
      <bottom style="medium">
        <color rgb="FF1A2744"/>
      </bottom>
      <diagonal/>
    </border>
    <border>
      <left/>
      <right/>
      <top style="medium">
        <color rgb="FF1A2744"/>
      </top>
      <bottom style="medium">
        <color rgb="FF1A2744"/>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style="medium">
        <color rgb="FF1A2744"/>
      </left>
      <right style="medium">
        <color rgb="FF1A2744"/>
      </right>
      <top style="medium">
        <color rgb="FF1A2744"/>
      </top>
      <bottom style="medium">
        <color rgb="FF1A2744"/>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top style="thin">
        <color rgb="FFD9D9D9"/>
      </top>
      <bottom style="thin">
        <color rgb="FFD9D9D9"/>
      </bottom>
      <diagonal/>
    </border>
  </borders>
  <cellStyleXfs count="1">
    <xf numFmtId="0" fontId="0" fillId="0" borderId="0"/>
  </cellStyleXfs>
  <cellXfs count="92">
    <xf numFmtId="0" fontId="0" fillId="0" borderId="0" xfId="0" applyFont="1" applyAlignment="1"/>
    <xf numFmtId="0" fontId="6" fillId="4"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 fillId="6" borderId="7"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7" fillId="7" borderId="7" xfId="0" applyFont="1" applyFill="1" applyBorder="1" applyAlignment="1">
      <alignment horizontal="left" vertical="center" wrapText="1"/>
    </xf>
    <xf numFmtId="0" fontId="7" fillId="8" borderId="7" xfId="0" applyFont="1" applyFill="1" applyBorder="1" applyAlignment="1">
      <alignment horizontal="left" vertical="center" wrapText="1"/>
    </xf>
    <xf numFmtId="0" fontId="7" fillId="9"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3" fontId="12" fillId="6" borderId="7" xfId="0" applyNumberFormat="1" applyFont="1" applyFill="1" applyBorder="1" applyAlignment="1">
      <alignment horizontal="right" vertical="center"/>
    </xf>
    <xf numFmtId="164" fontId="5" fillId="6" borderId="7" xfId="0" applyNumberFormat="1" applyFont="1" applyFill="1" applyBorder="1" applyAlignment="1">
      <alignment horizontal="right" vertical="center"/>
    </xf>
    <xf numFmtId="0" fontId="5" fillId="6" borderId="7" xfId="0" applyFont="1" applyFill="1" applyBorder="1" applyAlignment="1">
      <alignment horizontal="center" vertical="center" wrapText="1"/>
    </xf>
    <xf numFmtId="3" fontId="12" fillId="5" borderId="7" xfId="0" applyNumberFormat="1" applyFont="1" applyFill="1" applyBorder="1" applyAlignment="1">
      <alignment horizontal="right" vertical="center"/>
    </xf>
    <xf numFmtId="164" fontId="5" fillId="5" borderId="7" xfId="0" applyNumberFormat="1" applyFont="1" applyFill="1" applyBorder="1" applyAlignment="1">
      <alignment horizontal="right" vertical="center"/>
    </xf>
    <xf numFmtId="0" fontId="5" fillId="5" borderId="7" xfId="0" applyFont="1" applyFill="1" applyBorder="1" applyAlignment="1">
      <alignment horizontal="center" vertical="center" wrapText="1"/>
    </xf>
    <xf numFmtId="0" fontId="13" fillId="2" borderId="9" xfId="0" applyFont="1" applyFill="1" applyBorder="1" applyAlignment="1">
      <alignment horizontal="left" vertical="center" wrapText="1"/>
    </xf>
    <xf numFmtId="3" fontId="13" fillId="2" borderId="9" xfId="0" applyNumberFormat="1" applyFont="1" applyFill="1" applyBorder="1" applyAlignment="1">
      <alignment horizontal="right" vertical="center"/>
    </xf>
    <xf numFmtId="164" fontId="13" fillId="2" borderId="9" xfId="0" applyNumberFormat="1" applyFont="1" applyFill="1" applyBorder="1" applyAlignment="1">
      <alignment horizontal="right" vertical="center"/>
    </xf>
    <xf numFmtId="0" fontId="3" fillId="3" borderId="8" xfId="0" applyFont="1" applyFill="1" applyBorder="1" applyAlignment="1">
      <alignment horizontal="center" vertical="center" wrapText="1"/>
    </xf>
    <xf numFmtId="0" fontId="11" fillId="5" borderId="7" xfId="0" applyFont="1" applyFill="1" applyBorder="1" applyAlignment="1">
      <alignment horizontal="right" vertical="center"/>
    </xf>
    <xf numFmtId="0" fontId="11" fillId="6" borderId="7" xfId="0" applyFont="1" applyFill="1" applyBorder="1" applyAlignment="1">
      <alignment horizontal="right" vertical="center"/>
    </xf>
    <xf numFmtId="0" fontId="13" fillId="3" borderId="9" xfId="0" applyFont="1" applyFill="1" applyBorder="1" applyAlignment="1">
      <alignment horizontal="left" vertical="center" wrapText="1"/>
    </xf>
    <xf numFmtId="3" fontId="13" fillId="3" borderId="9" xfId="0" applyNumberFormat="1" applyFont="1" applyFill="1" applyBorder="1" applyAlignment="1">
      <alignment horizontal="right" vertical="center"/>
    </xf>
    <xf numFmtId="164" fontId="13" fillId="3" borderId="9" xfId="0" applyNumberFormat="1" applyFont="1" applyFill="1" applyBorder="1" applyAlignment="1">
      <alignment horizontal="right" vertical="center"/>
    </xf>
    <xf numFmtId="0" fontId="14" fillId="4" borderId="8" xfId="0" applyFont="1" applyFill="1" applyBorder="1" applyAlignment="1">
      <alignment horizontal="center" vertical="center" wrapText="1"/>
    </xf>
    <xf numFmtId="3" fontId="5" fillId="6" borderId="7" xfId="0" applyNumberFormat="1" applyFont="1" applyFill="1" applyBorder="1" applyAlignment="1">
      <alignment horizontal="right" vertical="center"/>
    </xf>
    <xf numFmtId="3" fontId="5" fillId="5" borderId="7" xfId="0" applyNumberFormat="1" applyFont="1" applyFill="1" applyBorder="1" applyAlignment="1">
      <alignment horizontal="right" vertical="center"/>
    </xf>
    <xf numFmtId="3" fontId="15" fillId="2" borderId="9" xfId="0" applyNumberFormat="1" applyFont="1" applyFill="1" applyBorder="1" applyAlignment="1">
      <alignment horizontal="right" vertical="center"/>
    </xf>
    <xf numFmtId="3" fontId="16" fillId="2" borderId="9" xfId="0" applyNumberFormat="1" applyFont="1" applyFill="1" applyBorder="1" applyAlignment="1">
      <alignment horizontal="right" vertical="center"/>
    </xf>
    <xf numFmtId="0" fontId="3" fillId="2" borderId="7" xfId="0" applyFont="1" applyFill="1" applyBorder="1" applyAlignment="1"/>
    <xf numFmtId="0" fontId="11" fillId="2" borderId="7" xfId="0" applyFont="1" applyFill="1" applyBorder="1" applyAlignment="1"/>
    <xf numFmtId="0" fontId="5" fillId="5" borderId="7" xfId="0" applyFont="1" applyFill="1" applyBorder="1" applyAlignment="1"/>
    <xf numFmtId="3" fontId="12" fillId="5" borderId="7" xfId="0" applyNumberFormat="1" applyFont="1" applyFill="1" applyBorder="1" applyAlignment="1"/>
    <xf numFmtId="3" fontId="11" fillId="5" borderId="7" xfId="0" applyNumberFormat="1" applyFont="1" applyFill="1" applyBorder="1" applyAlignment="1"/>
    <xf numFmtId="0" fontId="5" fillId="6" borderId="7" xfId="0" applyFont="1" applyFill="1" applyBorder="1" applyAlignment="1"/>
    <xf numFmtId="3" fontId="12" fillId="6" borderId="7" xfId="0" applyNumberFormat="1" applyFont="1" applyFill="1" applyBorder="1" applyAlignment="1"/>
    <xf numFmtId="3" fontId="11" fillId="6" borderId="7" xfId="0" applyNumberFormat="1" applyFont="1" applyFill="1" applyBorder="1" applyAlignment="1"/>
    <xf numFmtId="0" fontId="6" fillId="10" borderId="7" xfId="0" applyFont="1" applyFill="1" applyBorder="1" applyAlignment="1"/>
    <xf numFmtId="3" fontId="6" fillId="10" borderId="7" xfId="0" applyNumberFormat="1" applyFont="1" applyFill="1" applyBorder="1" applyAlignment="1"/>
    <xf numFmtId="0" fontId="3" fillId="2" borderId="7" xfId="0" applyFont="1" applyFill="1" applyBorder="1" applyAlignment="1">
      <alignment horizontal="center" vertical="center" wrapText="1"/>
    </xf>
    <xf numFmtId="0" fontId="7" fillId="5" borderId="7" xfId="0" applyFont="1" applyFill="1" applyBorder="1" applyAlignment="1">
      <alignment horizontal="left" vertical="center" wrapText="1"/>
    </xf>
    <xf numFmtId="0" fontId="7" fillId="6" borderId="7" xfId="0" applyFont="1" applyFill="1" applyBorder="1" applyAlignment="1">
      <alignment horizontal="left" vertical="center" wrapText="1"/>
    </xf>
    <xf numFmtId="0" fontId="11" fillId="5" borderId="7" xfId="0" applyFont="1" applyFill="1" applyBorder="1" applyAlignment="1"/>
    <xf numFmtId="0" fontId="11" fillId="6" borderId="7" xfId="0" applyFont="1" applyFill="1" applyBorder="1" applyAlignment="1"/>
    <xf numFmtId="0" fontId="19" fillId="4" borderId="7"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20" fillId="5" borderId="7" xfId="0" applyFont="1" applyFill="1" applyBorder="1" applyAlignment="1">
      <alignment horizontal="left" vertical="center" wrapText="1"/>
    </xf>
    <xf numFmtId="0" fontId="20" fillId="6" borderId="7" xfId="0" applyFont="1" applyFill="1" applyBorder="1" applyAlignment="1">
      <alignment horizontal="left" vertical="center" wrapText="1"/>
    </xf>
    <xf numFmtId="0" fontId="7" fillId="10" borderId="7" xfId="0" applyFont="1" applyFill="1" applyBorder="1" applyAlignment="1">
      <alignment horizontal="left" vertical="center" wrapText="1"/>
    </xf>
    <xf numFmtId="0" fontId="22" fillId="7" borderId="7" xfId="0" applyFont="1" applyFill="1" applyBorder="1" applyAlignment="1">
      <alignment horizontal="left" vertical="center" wrapText="1"/>
    </xf>
    <xf numFmtId="0" fontId="23" fillId="7" borderId="7" xfId="0" applyFont="1" applyFill="1" applyBorder="1" applyAlignment="1">
      <alignment horizontal="left" vertical="center" wrapText="1"/>
    </xf>
    <xf numFmtId="0" fontId="24" fillId="10" borderId="7" xfId="0" applyFont="1" applyFill="1" applyBorder="1" applyAlignment="1">
      <alignment horizontal="left" vertical="center" wrapText="1"/>
    </xf>
    <xf numFmtId="0" fontId="24" fillId="9" borderId="7" xfId="0" applyFont="1" applyFill="1" applyBorder="1" applyAlignment="1">
      <alignment horizontal="left" vertical="center" wrapText="1"/>
    </xf>
    <xf numFmtId="0" fontId="24" fillId="5" borderId="7" xfId="0" applyFont="1" applyFill="1" applyBorder="1" applyAlignment="1">
      <alignment horizontal="left" vertical="center" wrapText="1"/>
    </xf>
    <xf numFmtId="0" fontId="24" fillId="8" borderId="7" xfId="0" applyFont="1" applyFill="1" applyBorder="1" applyAlignment="1">
      <alignment horizontal="left" vertical="center" wrapText="1"/>
    </xf>
    <xf numFmtId="0" fontId="25" fillId="9" borderId="7" xfId="0" applyFont="1" applyFill="1" applyBorder="1" applyAlignment="1">
      <alignment horizontal="left" vertical="center" wrapText="1"/>
    </xf>
    <xf numFmtId="0" fontId="26" fillId="9" borderId="7" xfId="0" applyFont="1" applyFill="1" applyBorder="1" applyAlignment="1">
      <alignment horizontal="left" vertical="center" wrapText="1"/>
    </xf>
    <xf numFmtId="0" fontId="25" fillId="8" borderId="7" xfId="0" applyFont="1" applyFill="1" applyBorder="1" applyAlignment="1">
      <alignment horizontal="left" vertical="center" wrapText="1"/>
    </xf>
    <xf numFmtId="0" fontId="26" fillId="8" borderId="7" xfId="0" applyFont="1" applyFill="1" applyBorder="1" applyAlignment="1">
      <alignment horizontal="left" vertical="center" wrapText="1"/>
    </xf>
    <xf numFmtId="0" fontId="25" fillId="10" borderId="7" xfId="0" applyFont="1" applyFill="1" applyBorder="1" applyAlignment="1">
      <alignment horizontal="left" vertical="center" wrapText="1"/>
    </xf>
    <xf numFmtId="0" fontId="26" fillId="10" borderId="7" xfId="0" applyFont="1" applyFill="1" applyBorder="1" applyAlignment="1">
      <alignment horizontal="left" vertical="center" wrapText="1"/>
    </xf>
    <xf numFmtId="0" fontId="25" fillId="7" borderId="7" xfId="0" applyFont="1" applyFill="1" applyBorder="1" applyAlignment="1">
      <alignment horizontal="left" vertical="center" wrapText="1"/>
    </xf>
    <xf numFmtId="0" fontId="26" fillId="7" borderId="7"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4" fillId="0" borderId="0" xfId="0" applyFont="1" applyAlignment="1">
      <alignment horizontal="left" vertical="center" wrapText="1"/>
    </xf>
    <xf numFmtId="0" fontId="0" fillId="0" borderId="0" xfId="0" applyFont="1" applyAlignment="1"/>
    <xf numFmtId="0" fontId="5" fillId="0" borderId="0" xfId="0" applyFont="1" applyAlignment="1">
      <alignment horizontal="left" vertical="center" wrapText="1"/>
    </xf>
    <xf numFmtId="0" fontId="3" fillId="2"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3" fillId="3" borderId="4" xfId="0" applyFont="1" applyFill="1" applyBorder="1" applyAlignment="1">
      <alignment horizontal="center" vertical="center" wrapText="1"/>
    </xf>
    <xf numFmtId="0" fontId="8" fillId="10" borderId="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11" fillId="2" borderId="10" xfId="0" applyFont="1" applyFill="1" applyBorder="1" applyAlignment="1"/>
    <xf numFmtId="0" fontId="2" fillId="0" borderId="11" xfId="0" applyFont="1" applyBorder="1"/>
    <xf numFmtId="0" fontId="2" fillId="0" borderId="12" xfId="0" applyFont="1" applyBorder="1"/>
    <xf numFmtId="0" fontId="11" fillId="5" borderId="10" xfId="0" applyFont="1" applyFill="1" applyBorder="1" applyAlignment="1"/>
    <xf numFmtId="0" fontId="11" fillId="6" borderId="10" xfId="0" applyFont="1" applyFill="1" applyBorder="1" applyAlignment="1"/>
    <xf numFmtId="0" fontId="11" fillId="0" borderId="0" xfId="0" applyFont="1" applyAlignment="1"/>
    <xf numFmtId="0" fontId="10" fillId="2" borderId="1" xfId="0" applyFont="1" applyFill="1" applyBorder="1" applyAlignment="1">
      <alignment horizontal="center" vertical="center" wrapText="1"/>
    </xf>
    <xf numFmtId="0" fontId="9" fillId="10" borderId="4"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18" fillId="7"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9" fillId="5" borderId="10"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21" fillId="10"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21" Type="http://schemas.openxmlformats.org/officeDocument/2006/relationships/styles" Target="styles.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20"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calcChain" Target="calcChain.xml" /><Relationship Id="rId10" Type="http://schemas.openxmlformats.org/officeDocument/2006/relationships/worksheet" Target="worksheets/sheet10.xml" /><Relationship Id="rId19" Type="http://customschemas.google.com/relationships/workbookmetadata" Target="metadata"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84C"/>
  </sheetPr>
  <dimension ref="A1:D1000"/>
  <sheetViews>
    <sheetView showGridLines="0" tabSelected="1"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7.98046875" customWidth="1"/>
    <col min="3" max="3" width="59.99609375" customWidth="1"/>
    <col min="4" max="4" width="39.953125" customWidth="1"/>
    <col min="5" max="26" width="8.7421875" customWidth="1"/>
  </cols>
  <sheetData>
    <row r="1" spans="1:4" ht="48" customHeight="1" x14ac:dyDescent="0.2">
      <c r="A1" s="63" t="s">
        <v>0</v>
      </c>
      <c r="B1" s="64"/>
      <c r="C1" s="64"/>
      <c r="D1" s="65"/>
    </row>
    <row r="2" spans="1:4" ht="21.75" customHeight="1" x14ac:dyDescent="0.2">
      <c r="A2" s="66" t="s">
        <v>1</v>
      </c>
      <c r="B2" s="64"/>
      <c r="C2" s="64"/>
      <c r="D2" s="65"/>
    </row>
    <row r="3" spans="1:4" ht="12" customHeight="1" x14ac:dyDescent="0.2"/>
    <row r="4" spans="1:4" ht="24" customHeight="1" x14ac:dyDescent="0.2">
      <c r="B4" s="67" t="s">
        <v>2</v>
      </c>
      <c r="C4" s="68"/>
      <c r="D4" s="68"/>
    </row>
    <row r="5" spans="1:4" ht="39.75" customHeight="1" x14ac:dyDescent="0.2">
      <c r="B5" s="69" t="s">
        <v>3</v>
      </c>
      <c r="C5" s="68"/>
      <c r="D5" s="68"/>
    </row>
    <row r="6" spans="1:4" ht="9.75" customHeight="1" x14ac:dyDescent="0.2"/>
    <row r="7" spans="1:4" ht="25.5" customHeight="1" x14ac:dyDescent="0.2">
      <c r="A7" s="70" t="s">
        <v>4</v>
      </c>
      <c r="B7" s="71"/>
      <c r="C7" s="71"/>
      <c r="D7" s="72"/>
    </row>
    <row r="8" spans="1:4" ht="25.5" customHeight="1" x14ac:dyDescent="0.2">
      <c r="A8" s="1" t="s">
        <v>5</v>
      </c>
      <c r="B8" s="1" t="s">
        <v>6</v>
      </c>
      <c r="C8" s="1" t="s">
        <v>7</v>
      </c>
      <c r="D8" s="1" t="s">
        <v>8</v>
      </c>
    </row>
    <row r="9" spans="1:4" ht="21.75" customHeight="1" x14ac:dyDescent="0.2">
      <c r="A9" s="2" t="s">
        <v>9</v>
      </c>
      <c r="B9" s="2" t="s">
        <v>10</v>
      </c>
      <c r="C9" s="2" t="s">
        <v>11</v>
      </c>
      <c r="D9" s="2" t="s">
        <v>12</v>
      </c>
    </row>
    <row r="10" spans="1:4" ht="21.75" customHeight="1" x14ac:dyDescent="0.2">
      <c r="A10" s="3" t="s">
        <v>13</v>
      </c>
      <c r="B10" s="3" t="s">
        <v>14</v>
      </c>
      <c r="C10" s="3" t="s">
        <v>15</v>
      </c>
      <c r="D10" s="3" t="s">
        <v>16</v>
      </c>
    </row>
    <row r="11" spans="1:4" ht="21.75" customHeight="1" x14ac:dyDescent="0.2">
      <c r="A11" s="2" t="s">
        <v>17</v>
      </c>
      <c r="B11" s="2" t="s">
        <v>18</v>
      </c>
      <c r="C11" s="2" t="s">
        <v>19</v>
      </c>
      <c r="D11" s="2" t="s">
        <v>20</v>
      </c>
    </row>
    <row r="12" spans="1:4" ht="21.75" customHeight="1" x14ac:dyDescent="0.2">
      <c r="A12" s="3" t="s">
        <v>21</v>
      </c>
      <c r="B12" s="3" t="s">
        <v>22</v>
      </c>
      <c r="C12" s="3" t="s">
        <v>23</v>
      </c>
      <c r="D12" s="3" t="s">
        <v>24</v>
      </c>
    </row>
    <row r="13" spans="1:4" ht="21.75" customHeight="1" x14ac:dyDescent="0.2">
      <c r="A13" s="2" t="s">
        <v>25</v>
      </c>
      <c r="B13" s="2" t="s">
        <v>26</v>
      </c>
      <c r="C13" s="2" t="s">
        <v>27</v>
      </c>
      <c r="D13" s="2" t="s">
        <v>28</v>
      </c>
    </row>
    <row r="14" spans="1:4" ht="21.75" customHeight="1" x14ac:dyDescent="0.2">
      <c r="A14" s="3" t="s">
        <v>29</v>
      </c>
      <c r="B14" s="3" t="s">
        <v>30</v>
      </c>
      <c r="C14" s="3" t="s">
        <v>31</v>
      </c>
      <c r="D14" s="3" t="s">
        <v>32</v>
      </c>
    </row>
    <row r="15" spans="1:4" ht="21.75" customHeight="1" x14ac:dyDescent="0.2">
      <c r="A15" s="2" t="s">
        <v>33</v>
      </c>
      <c r="B15" s="2" t="s">
        <v>34</v>
      </c>
      <c r="C15" s="2" t="s">
        <v>35</v>
      </c>
      <c r="D15" s="2" t="s">
        <v>36</v>
      </c>
    </row>
    <row r="16" spans="1:4" ht="21.75" customHeight="1" x14ac:dyDescent="0.2">
      <c r="A16" s="3" t="s">
        <v>37</v>
      </c>
      <c r="B16" s="3" t="s">
        <v>38</v>
      </c>
      <c r="C16" s="3" t="s">
        <v>39</v>
      </c>
      <c r="D16" s="3" t="s">
        <v>40</v>
      </c>
    </row>
    <row r="17" spans="1:4" ht="21.75" customHeight="1" x14ac:dyDescent="0.2">
      <c r="A17" s="2" t="s">
        <v>41</v>
      </c>
      <c r="B17" s="2" t="s">
        <v>42</v>
      </c>
      <c r="C17" s="2" t="s">
        <v>43</v>
      </c>
      <c r="D17" s="2" t="s">
        <v>44</v>
      </c>
    </row>
    <row r="18" spans="1:4" ht="21.75" customHeight="1" x14ac:dyDescent="0.2">
      <c r="A18" s="3" t="s">
        <v>45</v>
      </c>
      <c r="B18" s="3" t="s">
        <v>46</v>
      </c>
      <c r="C18" s="3" t="s">
        <v>47</v>
      </c>
      <c r="D18" s="3" t="s">
        <v>48</v>
      </c>
    </row>
    <row r="19" spans="1:4" ht="21.75" customHeight="1" x14ac:dyDescent="0.2">
      <c r="A19" s="2" t="s">
        <v>49</v>
      </c>
      <c r="B19" s="2" t="s">
        <v>50</v>
      </c>
      <c r="C19" s="2" t="s">
        <v>51</v>
      </c>
      <c r="D19" s="2" t="s">
        <v>52</v>
      </c>
    </row>
    <row r="20" spans="1:4" ht="21.75" customHeight="1" x14ac:dyDescent="0.2">
      <c r="A20" s="3" t="s">
        <v>53</v>
      </c>
      <c r="B20" s="3" t="s">
        <v>54</v>
      </c>
      <c r="C20" s="3" t="s">
        <v>55</v>
      </c>
      <c r="D20" s="3" t="s">
        <v>56</v>
      </c>
    </row>
    <row r="21" spans="1:4" ht="21.75" customHeight="1" x14ac:dyDescent="0.2">
      <c r="A21" s="2" t="s">
        <v>57</v>
      </c>
      <c r="B21" s="2" t="s">
        <v>58</v>
      </c>
      <c r="C21" s="2" t="s">
        <v>59</v>
      </c>
      <c r="D21" s="2" t="s">
        <v>60</v>
      </c>
    </row>
    <row r="22" spans="1:4" ht="21.75" customHeight="1" x14ac:dyDescent="0.2">
      <c r="A22" s="3" t="s">
        <v>61</v>
      </c>
      <c r="B22" s="3" t="s">
        <v>62</v>
      </c>
      <c r="C22" s="3" t="s">
        <v>63</v>
      </c>
      <c r="D22" s="3" t="s">
        <v>64</v>
      </c>
    </row>
    <row r="23" spans="1:4" ht="12" customHeight="1" x14ac:dyDescent="0.2"/>
    <row r="24" spans="1:4" ht="25.5" customHeight="1" x14ac:dyDescent="0.2">
      <c r="A24" s="73" t="s">
        <v>65</v>
      </c>
      <c r="B24" s="71"/>
      <c r="C24" s="71"/>
      <c r="D24" s="72"/>
    </row>
    <row r="25" spans="1:4" ht="25.5" customHeight="1" x14ac:dyDescent="0.2">
      <c r="A25" s="4" t="s">
        <v>66</v>
      </c>
      <c r="B25" s="4" t="s">
        <v>67</v>
      </c>
      <c r="C25" s="4" t="s">
        <v>68</v>
      </c>
      <c r="D25" s="4" t="s">
        <v>69</v>
      </c>
    </row>
    <row r="26" spans="1:4" ht="27.75" customHeight="1" x14ac:dyDescent="0.2">
      <c r="A26" s="5" t="s">
        <v>70</v>
      </c>
      <c r="B26" s="5" t="s">
        <v>71</v>
      </c>
      <c r="C26" s="5" t="s">
        <v>72</v>
      </c>
      <c r="D26" s="5" t="s">
        <v>73</v>
      </c>
    </row>
    <row r="27" spans="1:4" ht="27.75" customHeight="1" x14ac:dyDescent="0.2">
      <c r="A27" s="5" t="s">
        <v>70</v>
      </c>
      <c r="B27" s="5" t="s">
        <v>74</v>
      </c>
      <c r="C27" s="5" t="s">
        <v>75</v>
      </c>
      <c r="D27" s="5" t="s">
        <v>76</v>
      </c>
    </row>
    <row r="28" spans="1:4" ht="27.75" customHeight="1" x14ac:dyDescent="0.2">
      <c r="A28" s="5" t="s">
        <v>70</v>
      </c>
      <c r="B28" s="5" t="s">
        <v>77</v>
      </c>
      <c r="C28" s="5" t="s">
        <v>78</v>
      </c>
      <c r="D28" s="5" t="s">
        <v>79</v>
      </c>
    </row>
    <row r="29" spans="1:4" ht="27.75" customHeight="1" x14ac:dyDescent="0.2">
      <c r="A29" s="6" t="s">
        <v>80</v>
      </c>
      <c r="B29" s="6" t="s">
        <v>81</v>
      </c>
      <c r="C29" s="6" t="s">
        <v>82</v>
      </c>
      <c r="D29" s="6" t="s">
        <v>83</v>
      </c>
    </row>
    <row r="30" spans="1:4" ht="27.75" customHeight="1" x14ac:dyDescent="0.2">
      <c r="A30" s="6" t="s">
        <v>80</v>
      </c>
      <c r="B30" s="6" t="s">
        <v>84</v>
      </c>
      <c r="C30" s="6" t="s">
        <v>85</v>
      </c>
      <c r="D30" s="6" t="s">
        <v>86</v>
      </c>
    </row>
    <row r="31" spans="1:4" ht="27.75" customHeight="1" x14ac:dyDescent="0.2">
      <c r="A31" s="6" t="s">
        <v>80</v>
      </c>
      <c r="B31" s="6" t="s">
        <v>87</v>
      </c>
      <c r="C31" s="6" t="s">
        <v>88</v>
      </c>
      <c r="D31" s="6" t="s">
        <v>89</v>
      </c>
    </row>
    <row r="32" spans="1:4" ht="27.75" customHeight="1" x14ac:dyDescent="0.2">
      <c r="A32" s="6" t="s">
        <v>80</v>
      </c>
      <c r="B32" s="6" t="s">
        <v>90</v>
      </c>
      <c r="C32" s="6" t="s">
        <v>91</v>
      </c>
      <c r="D32" s="6" t="s">
        <v>92</v>
      </c>
    </row>
    <row r="33" spans="1:4" ht="27.75" customHeight="1" x14ac:dyDescent="0.2">
      <c r="A33" s="7" t="s">
        <v>93</v>
      </c>
      <c r="B33" s="7" t="s">
        <v>94</v>
      </c>
      <c r="C33" s="7" t="s">
        <v>95</v>
      </c>
      <c r="D33" s="7" t="s">
        <v>96</v>
      </c>
    </row>
    <row r="34" spans="1:4" ht="27.75" customHeight="1" x14ac:dyDescent="0.2">
      <c r="A34" s="7" t="s">
        <v>93</v>
      </c>
      <c r="B34" s="7" t="s">
        <v>97</v>
      </c>
      <c r="C34" s="7" t="s">
        <v>98</v>
      </c>
      <c r="D34" s="7" t="s">
        <v>99</v>
      </c>
    </row>
    <row r="35" spans="1:4" ht="27.75" customHeight="1" x14ac:dyDescent="0.2">
      <c r="A35" s="7" t="s">
        <v>93</v>
      </c>
      <c r="B35" s="7" t="s">
        <v>100</v>
      </c>
      <c r="C35" s="7" t="s">
        <v>101</v>
      </c>
      <c r="D35" s="7" t="s">
        <v>102</v>
      </c>
    </row>
    <row r="36" spans="1:4" ht="27.75" customHeight="1" x14ac:dyDescent="0.2">
      <c r="A36" s="7" t="s">
        <v>93</v>
      </c>
      <c r="B36" s="7" t="s">
        <v>103</v>
      </c>
      <c r="C36" s="7" t="s">
        <v>104</v>
      </c>
      <c r="D36" s="7" t="s">
        <v>105</v>
      </c>
    </row>
    <row r="37" spans="1:4" ht="15.75" customHeight="1" x14ac:dyDescent="0.2"/>
    <row r="38" spans="1:4" ht="12" customHeight="1" x14ac:dyDescent="0.2"/>
    <row r="39" spans="1:4" ht="36" customHeight="1" x14ac:dyDescent="0.2">
      <c r="A39" s="74" t="s">
        <v>106</v>
      </c>
      <c r="B39" s="71"/>
      <c r="C39" s="71"/>
      <c r="D39" s="72"/>
    </row>
    <row r="40" spans="1:4" ht="30" customHeight="1" x14ac:dyDescent="0.2">
      <c r="A40" s="75" t="s">
        <v>107</v>
      </c>
      <c r="B40" s="71"/>
      <c r="C40" s="71"/>
      <c r="D40" s="72"/>
    </row>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24:D24"/>
    <mergeCell ref="A39:D39"/>
    <mergeCell ref="A40:D40"/>
    <mergeCell ref="A1:D1"/>
    <mergeCell ref="A2:D2"/>
    <mergeCell ref="B4:D4"/>
    <mergeCell ref="B5:D5"/>
    <mergeCell ref="A7:D7"/>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8449"/>
  </sheetPr>
  <dimension ref="A1:H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2.95703125" customWidth="1"/>
    <col min="2" max="2" width="29.99609375" customWidth="1"/>
    <col min="3" max="7" width="22.05859375" customWidth="1"/>
    <col min="8" max="8" width="4.9765625" customWidth="1"/>
    <col min="9" max="26" width="8.7421875" customWidth="1"/>
  </cols>
  <sheetData>
    <row r="1" spans="1:8" ht="42" customHeight="1" x14ac:dyDescent="0.2">
      <c r="A1" s="82" t="s">
        <v>108</v>
      </c>
      <c r="B1" s="64"/>
      <c r="C1" s="64"/>
      <c r="D1" s="64"/>
      <c r="E1" s="64"/>
      <c r="F1" s="64"/>
      <c r="G1" s="64"/>
      <c r="H1" s="65"/>
    </row>
    <row r="2" spans="1:8" ht="21.75" customHeight="1" x14ac:dyDescent="0.2">
      <c r="A2" s="83" t="s">
        <v>109</v>
      </c>
      <c r="B2" s="71"/>
      <c r="C2" s="71"/>
      <c r="D2" s="71"/>
      <c r="E2" s="71"/>
      <c r="F2" s="71"/>
      <c r="G2" s="71"/>
      <c r="H2" s="72"/>
    </row>
    <row r="3" spans="1:8" ht="12" customHeight="1" x14ac:dyDescent="0.2"/>
    <row r="4" spans="1:8" ht="25.5" customHeight="1" x14ac:dyDescent="0.2">
      <c r="A4" s="8" t="s">
        <v>110</v>
      </c>
      <c r="B4" s="81"/>
      <c r="C4" s="68"/>
      <c r="D4" s="68"/>
      <c r="E4" s="68"/>
      <c r="F4" s="68"/>
      <c r="G4" s="68"/>
    </row>
    <row r="5" spans="1:8" ht="25.5" customHeight="1" x14ac:dyDescent="0.2">
      <c r="B5" s="1" t="s">
        <v>111</v>
      </c>
      <c r="C5" s="1" t="s">
        <v>112</v>
      </c>
      <c r="D5" s="1" t="s">
        <v>113</v>
      </c>
      <c r="E5" s="1" t="s">
        <v>114</v>
      </c>
      <c r="F5" s="1" t="s">
        <v>115</v>
      </c>
      <c r="G5" s="1" t="s">
        <v>116</v>
      </c>
    </row>
    <row r="6" spans="1:8" ht="21.75" customHeight="1" x14ac:dyDescent="0.2">
      <c r="B6" s="3" t="s">
        <v>117</v>
      </c>
      <c r="C6" s="9">
        <v>0</v>
      </c>
      <c r="D6" s="9">
        <v>0</v>
      </c>
      <c r="E6" s="10">
        <f t="shared" ref="E6:E16" si="0">IF(C$17=0,0,C6/C$17)</f>
        <v>0</v>
      </c>
      <c r="F6" s="3"/>
      <c r="G6" s="11"/>
    </row>
    <row r="7" spans="1:8" ht="21.75" customHeight="1" x14ac:dyDescent="0.2">
      <c r="B7" s="2" t="s">
        <v>118</v>
      </c>
      <c r="C7" s="12">
        <v>0</v>
      </c>
      <c r="D7" s="12">
        <v>0</v>
      </c>
      <c r="E7" s="13">
        <f t="shared" si="0"/>
        <v>0</v>
      </c>
      <c r="F7" s="2"/>
      <c r="G7" s="14"/>
    </row>
    <row r="8" spans="1:8" ht="21.75" customHeight="1" x14ac:dyDescent="0.2">
      <c r="B8" s="3" t="s">
        <v>119</v>
      </c>
      <c r="C8" s="9">
        <v>0</v>
      </c>
      <c r="D8" s="9">
        <v>0</v>
      </c>
      <c r="E8" s="10">
        <f t="shared" si="0"/>
        <v>0</v>
      </c>
      <c r="F8" s="3"/>
      <c r="G8" s="11"/>
    </row>
    <row r="9" spans="1:8" ht="21.75" customHeight="1" x14ac:dyDescent="0.2">
      <c r="B9" s="2" t="s">
        <v>120</v>
      </c>
      <c r="C9" s="12">
        <v>0</v>
      </c>
      <c r="D9" s="12">
        <v>0</v>
      </c>
      <c r="E9" s="13">
        <f t="shared" si="0"/>
        <v>0</v>
      </c>
      <c r="F9" s="2"/>
      <c r="G9" s="14"/>
    </row>
    <row r="10" spans="1:8" ht="21.75" customHeight="1" x14ac:dyDescent="0.2">
      <c r="B10" s="3" t="s">
        <v>121</v>
      </c>
      <c r="C10" s="9">
        <v>0</v>
      </c>
      <c r="D10" s="9">
        <v>0</v>
      </c>
      <c r="E10" s="10">
        <f t="shared" si="0"/>
        <v>0</v>
      </c>
      <c r="F10" s="3"/>
      <c r="G10" s="11"/>
    </row>
    <row r="11" spans="1:8" ht="21.75" customHeight="1" x14ac:dyDescent="0.2">
      <c r="B11" s="2" t="s">
        <v>122</v>
      </c>
      <c r="C11" s="12">
        <v>0</v>
      </c>
      <c r="D11" s="12">
        <v>0</v>
      </c>
      <c r="E11" s="13">
        <f t="shared" si="0"/>
        <v>0</v>
      </c>
      <c r="F11" s="2"/>
      <c r="G11" s="14"/>
    </row>
    <row r="12" spans="1:8" ht="21.75" customHeight="1" x14ac:dyDescent="0.2">
      <c r="B12" s="3" t="s">
        <v>123</v>
      </c>
      <c r="C12" s="9">
        <v>0</v>
      </c>
      <c r="D12" s="9">
        <v>0</v>
      </c>
      <c r="E12" s="10">
        <f t="shared" si="0"/>
        <v>0</v>
      </c>
      <c r="F12" s="3"/>
      <c r="G12" s="11"/>
    </row>
    <row r="13" spans="1:8" ht="21.75" customHeight="1" x14ac:dyDescent="0.2">
      <c r="B13" s="2" t="s">
        <v>124</v>
      </c>
      <c r="C13" s="12">
        <v>0</v>
      </c>
      <c r="D13" s="12">
        <v>0</v>
      </c>
      <c r="E13" s="13">
        <f t="shared" si="0"/>
        <v>0</v>
      </c>
      <c r="F13" s="2"/>
      <c r="G13" s="14"/>
    </row>
    <row r="14" spans="1:8" ht="21.75" customHeight="1" x14ac:dyDescent="0.2">
      <c r="B14" s="3" t="s">
        <v>125</v>
      </c>
      <c r="C14" s="9">
        <v>0</v>
      </c>
      <c r="D14" s="9">
        <v>0</v>
      </c>
      <c r="E14" s="10">
        <f t="shared" si="0"/>
        <v>0</v>
      </c>
      <c r="F14" s="3"/>
      <c r="G14" s="11"/>
    </row>
    <row r="15" spans="1:8" ht="21.75" customHeight="1" x14ac:dyDescent="0.2">
      <c r="B15" s="2" t="s">
        <v>126</v>
      </c>
      <c r="C15" s="12">
        <v>0</v>
      </c>
      <c r="D15" s="12">
        <v>0</v>
      </c>
      <c r="E15" s="13">
        <f t="shared" si="0"/>
        <v>0</v>
      </c>
      <c r="F15" s="2"/>
      <c r="G15" s="14"/>
    </row>
    <row r="16" spans="1:8" ht="21.75" customHeight="1" x14ac:dyDescent="0.2">
      <c r="B16" s="3" t="s">
        <v>127</v>
      </c>
      <c r="C16" s="9">
        <v>0</v>
      </c>
      <c r="D16" s="9">
        <v>0</v>
      </c>
      <c r="E16" s="10">
        <f t="shared" si="0"/>
        <v>0</v>
      </c>
      <c r="F16" s="3"/>
      <c r="G16" s="11"/>
    </row>
    <row r="17" spans="1:7" ht="25.5" customHeight="1" x14ac:dyDescent="0.2">
      <c r="B17" s="15" t="s">
        <v>128</v>
      </c>
      <c r="C17" s="16">
        <f t="shared" ref="C17:E17" si="1">SUM(C6:C16)</f>
        <v>0</v>
      </c>
      <c r="D17" s="16">
        <f t="shared" si="1"/>
        <v>0</v>
      </c>
      <c r="E17" s="17">
        <f t="shared" si="1"/>
        <v>0</v>
      </c>
      <c r="F17" s="15"/>
      <c r="G17" s="15"/>
    </row>
    <row r="18" spans="1:7" ht="12" customHeight="1" x14ac:dyDescent="0.2"/>
    <row r="19" spans="1:7" ht="25.5" customHeight="1" x14ac:dyDescent="0.2">
      <c r="A19" s="18" t="s">
        <v>129</v>
      </c>
      <c r="B19" s="81"/>
      <c r="C19" s="68"/>
      <c r="D19" s="68"/>
      <c r="E19" s="68"/>
      <c r="F19" s="68"/>
      <c r="G19" s="68"/>
    </row>
    <row r="20" spans="1:7" ht="25.5" customHeight="1" x14ac:dyDescent="0.2">
      <c r="B20" s="4" t="s">
        <v>130</v>
      </c>
      <c r="C20" s="4" t="s">
        <v>131</v>
      </c>
      <c r="D20" s="4" t="s">
        <v>132</v>
      </c>
      <c r="E20" s="4" t="s">
        <v>133</v>
      </c>
      <c r="F20" s="4" t="s">
        <v>134</v>
      </c>
      <c r="G20" s="4" t="s">
        <v>115</v>
      </c>
    </row>
    <row r="21" spans="1:7" ht="21.75" customHeight="1" x14ac:dyDescent="0.2">
      <c r="B21" s="2" t="s">
        <v>135</v>
      </c>
      <c r="C21" s="12">
        <v>0</v>
      </c>
      <c r="D21" s="12">
        <v>0</v>
      </c>
      <c r="E21" s="13">
        <f t="shared" ref="E21:E26" si="2">IF(C$27=0,0,C21/C$27)</f>
        <v>0</v>
      </c>
      <c r="F21" s="12">
        <v>0</v>
      </c>
      <c r="G21" s="19"/>
    </row>
    <row r="22" spans="1:7" ht="21.75" customHeight="1" x14ac:dyDescent="0.2">
      <c r="B22" s="3" t="s">
        <v>136</v>
      </c>
      <c r="C22" s="9">
        <v>0</v>
      </c>
      <c r="D22" s="9">
        <v>0</v>
      </c>
      <c r="E22" s="10">
        <f t="shared" si="2"/>
        <v>0</v>
      </c>
      <c r="F22" s="9">
        <v>0</v>
      </c>
      <c r="G22" s="20"/>
    </row>
    <row r="23" spans="1:7" ht="21.75" customHeight="1" x14ac:dyDescent="0.2">
      <c r="B23" s="2" t="s">
        <v>137</v>
      </c>
      <c r="C23" s="12">
        <v>0</v>
      </c>
      <c r="D23" s="12">
        <v>0</v>
      </c>
      <c r="E23" s="13">
        <f t="shared" si="2"/>
        <v>0</v>
      </c>
      <c r="F23" s="12">
        <v>0</v>
      </c>
      <c r="G23" s="19"/>
    </row>
    <row r="24" spans="1:7" ht="21.75" customHeight="1" x14ac:dyDescent="0.2">
      <c r="B24" s="3" t="s">
        <v>138</v>
      </c>
      <c r="C24" s="9">
        <v>0</v>
      </c>
      <c r="D24" s="9">
        <v>0</v>
      </c>
      <c r="E24" s="10">
        <f t="shared" si="2"/>
        <v>0</v>
      </c>
      <c r="F24" s="9">
        <v>0</v>
      </c>
      <c r="G24" s="20"/>
    </row>
    <row r="25" spans="1:7" ht="21.75" customHeight="1" x14ac:dyDescent="0.2">
      <c r="B25" s="2" t="s">
        <v>139</v>
      </c>
      <c r="C25" s="12">
        <v>0</v>
      </c>
      <c r="D25" s="12">
        <v>0</v>
      </c>
      <c r="E25" s="13">
        <f t="shared" si="2"/>
        <v>0</v>
      </c>
      <c r="F25" s="12">
        <v>0</v>
      </c>
      <c r="G25" s="19"/>
    </row>
    <row r="26" spans="1:7" ht="21.75" customHeight="1" x14ac:dyDescent="0.2">
      <c r="B26" s="3" t="s">
        <v>140</v>
      </c>
      <c r="C26" s="9">
        <v>0</v>
      </c>
      <c r="D26" s="9">
        <v>0</v>
      </c>
      <c r="E26" s="10">
        <f t="shared" si="2"/>
        <v>0</v>
      </c>
      <c r="F26" s="9">
        <v>0</v>
      </c>
      <c r="G26" s="20"/>
    </row>
    <row r="27" spans="1:7" ht="25.5" customHeight="1" x14ac:dyDescent="0.2">
      <c r="B27" s="21" t="s">
        <v>141</v>
      </c>
      <c r="C27" s="22">
        <f t="shared" ref="C27:F27" si="3">SUM(C21:C26)</f>
        <v>0</v>
      </c>
      <c r="D27" s="22">
        <f t="shared" si="3"/>
        <v>0</v>
      </c>
      <c r="E27" s="23">
        <f t="shared" si="3"/>
        <v>0</v>
      </c>
      <c r="F27" s="22">
        <f t="shared" si="3"/>
        <v>0</v>
      </c>
      <c r="G27" s="21"/>
    </row>
    <row r="28" spans="1:7" ht="12" customHeight="1" x14ac:dyDescent="0.2"/>
    <row r="29" spans="1:7" ht="30" customHeight="1" x14ac:dyDescent="0.2">
      <c r="A29" s="24" t="s">
        <v>142</v>
      </c>
      <c r="B29" s="81"/>
      <c r="C29" s="68"/>
      <c r="D29" s="68"/>
      <c r="E29" s="68"/>
      <c r="F29" s="68"/>
      <c r="G29" s="68"/>
    </row>
    <row r="30" spans="1:7" ht="25.5" customHeight="1" x14ac:dyDescent="0.2">
      <c r="B30" s="3" t="s">
        <v>143</v>
      </c>
      <c r="C30" s="25">
        <f>C17</f>
        <v>0</v>
      </c>
      <c r="D30" s="80"/>
      <c r="E30" s="77"/>
      <c r="F30" s="77"/>
      <c r="G30" s="78"/>
    </row>
    <row r="31" spans="1:7" ht="25.5" customHeight="1" x14ac:dyDescent="0.2">
      <c r="B31" s="2" t="s">
        <v>144</v>
      </c>
      <c r="C31" s="26">
        <f>C27</f>
        <v>0</v>
      </c>
      <c r="D31" s="79"/>
      <c r="E31" s="77"/>
      <c r="F31" s="77"/>
      <c r="G31" s="78"/>
    </row>
    <row r="32" spans="1:7" ht="25.5" customHeight="1" x14ac:dyDescent="0.2">
      <c r="B32" s="15" t="s">
        <v>145</v>
      </c>
      <c r="C32" s="27">
        <f>C30-C31</f>
        <v>0</v>
      </c>
      <c r="D32" s="76"/>
      <c r="E32" s="77"/>
      <c r="F32" s="77"/>
      <c r="G32" s="78"/>
    </row>
    <row r="33" spans="1:7" ht="25.5" customHeight="1" x14ac:dyDescent="0.2">
      <c r="B33" s="2" t="s">
        <v>146</v>
      </c>
      <c r="C33" s="26">
        <f>D17</f>
        <v>0</v>
      </c>
      <c r="D33" s="79"/>
      <c r="E33" s="77"/>
      <c r="F33" s="77"/>
      <c r="G33" s="78"/>
    </row>
    <row r="34" spans="1:7" ht="25.5" customHeight="1" x14ac:dyDescent="0.2">
      <c r="B34" s="3" t="s">
        <v>147</v>
      </c>
      <c r="C34" s="25">
        <f>D27</f>
        <v>0</v>
      </c>
      <c r="D34" s="80"/>
      <c r="E34" s="77"/>
      <c r="F34" s="77"/>
      <c r="G34" s="78"/>
    </row>
    <row r="35" spans="1:7" ht="25.5" customHeight="1" x14ac:dyDescent="0.2">
      <c r="B35" s="15" t="s">
        <v>148</v>
      </c>
      <c r="C35" s="28">
        <f>D34-D35</f>
        <v>0</v>
      </c>
      <c r="D35" s="76"/>
      <c r="E35" s="77"/>
      <c r="F35" s="77"/>
      <c r="G35" s="78"/>
    </row>
    <row r="36" spans="1:7" ht="25.5" customHeight="1" x14ac:dyDescent="0.2">
      <c r="B36" s="3" t="s">
        <v>149</v>
      </c>
      <c r="C36" s="10">
        <f>IF(C17=0,0,C27/C17)</f>
        <v>0</v>
      </c>
      <c r="D36" s="80"/>
      <c r="E36" s="77"/>
      <c r="F36" s="77"/>
      <c r="G36" s="78"/>
    </row>
    <row r="37" spans="1:7" ht="12" customHeight="1" x14ac:dyDescent="0.2"/>
    <row r="38" spans="1:7" ht="25.5" customHeight="1" x14ac:dyDescent="0.2">
      <c r="A38" s="8" t="s">
        <v>150</v>
      </c>
      <c r="B38" s="81"/>
      <c r="C38" s="68"/>
      <c r="D38" s="68"/>
      <c r="E38" s="68"/>
      <c r="F38" s="68"/>
      <c r="G38" s="68"/>
    </row>
    <row r="39" spans="1:7" ht="25.5" customHeight="1" x14ac:dyDescent="0.2">
      <c r="B39" s="1" t="s">
        <v>151</v>
      </c>
      <c r="C39" s="1" t="s">
        <v>152</v>
      </c>
      <c r="D39" s="1" t="s">
        <v>153</v>
      </c>
      <c r="E39" s="1" t="s">
        <v>154</v>
      </c>
      <c r="F39" s="1" t="s">
        <v>155</v>
      </c>
      <c r="G39" s="1" t="s">
        <v>115</v>
      </c>
    </row>
    <row r="40" spans="1:7" ht="24" customHeight="1" x14ac:dyDescent="0.2">
      <c r="B40" s="29" t="s">
        <v>156</v>
      </c>
      <c r="C40" s="30"/>
      <c r="D40" s="30"/>
      <c r="E40" s="30"/>
      <c r="F40" s="30"/>
      <c r="G40" s="30"/>
    </row>
    <row r="41" spans="1:7" ht="24" customHeight="1" x14ac:dyDescent="0.2">
      <c r="B41" s="31" t="s">
        <v>157</v>
      </c>
      <c r="C41" s="32">
        <v>0</v>
      </c>
      <c r="D41" s="32">
        <v>0</v>
      </c>
      <c r="E41" s="33">
        <f t="shared" ref="E41:F41" si="4">C41*12</f>
        <v>0</v>
      </c>
      <c r="F41" s="33">
        <f t="shared" si="4"/>
        <v>0</v>
      </c>
      <c r="G41" s="31"/>
    </row>
    <row r="42" spans="1:7" ht="24" customHeight="1" x14ac:dyDescent="0.2">
      <c r="B42" s="34" t="s">
        <v>158</v>
      </c>
      <c r="C42" s="35">
        <v>0</v>
      </c>
      <c r="D42" s="35">
        <v>0</v>
      </c>
      <c r="E42" s="36">
        <f t="shared" ref="E42:F42" si="5">C42*12</f>
        <v>0</v>
      </c>
      <c r="F42" s="36">
        <f t="shared" si="5"/>
        <v>0</v>
      </c>
      <c r="G42" s="34"/>
    </row>
    <row r="43" spans="1:7" ht="24" customHeight="1" x14ac:dyDescent="0.2">
      <c r="B43" s="31" t="s">
        <v>159</v>
      </c>
      <c r="C43" s="32">
        <v>0</v>
      </c>
      <c r="D43" s="32">
        <v>0</v>
      </c>
      <c r="E43" s="33">
        <f t="shared" ref="E43:F43" si="6">C43*12</f>
        <v>0</v>
      </c>
      <c r="F43" s="33">
        <f t="shared" si="6"/>
        <v>0</v>
      </c>
      <c r="G43" s="31"/>
    </row>
    <row r="44" spans="1:7" ht="24" customHeight="1" x14ac:dyDescent="0.2">
      <c r="B44" s="34" t="s">
        <v>160</v>
      </c>
      <c r="C44" s="35">
        <v>0</v>
      </c>
      <c r="D44" s="35">
        <v>0</v>
      </c>
      <c r="E44" s="36">
        <f t="shared" ref="E44:F44" si="7">C44*12</f>
        <v>0</v>
      </c>
      <c r="F44" s="36">
        <f t="shared" si="7"/>
        <v>0</v>
      </c>
      <c r="G44" s="34"/>
    </row>
    <row r="45" spans="1:7" ht="24" customHeight="1" x14ac:dyDescent="0.2">
      <c r="B45" s="31" t="s">
        <v>161</v>
      </c>
      <c r="C45" s="32">
        <v>0</v>
      </c>
      <c r="D45" s="32">
        <v>0</v>
      </c>
      <c r="E45" s="33">
        <f t="shared" ref="E45:F45" si="8">C45*12</f>
        <v>0</v>
      </c>
      <c r="F45" s="33">
        <f t="shared" si="8"/>
        <v>0</v>
      </c>
      <c r="G45" s="31"/>
    </row>
    <row r="46" spans="1:7" ht="24" customHeight="1" x14ac:dyDescent="0.2">
      <c r="B46" s="37" t="s">
        <v>162</v>
      </c>
      <c r="C46" s="38">
        <f t="shared" ref="C46:D46" si="9">SUM(C41:C45)</f>
        <v>0</v>
      </c>
      <c r="D46" s="38">
        <f t="shared" si="9"/>
        <v>0</v>
      </c>
      <c r="E46" s="38">
        <f t="shared" ref="E46:F46" si="10">C46*12</f>
        <v>0</v>
      </c>
      <c r="F46" s="38">
        <f t="shared" si="10"/>
        <v>0</v>
      </c>
      <c r="G46" s="37"/>
    </row>
    <row r="47" spans="1:7" ht="24" customHeight="1" x14ac:dyDescent="0.2">
      <c r="B47" s="31"/>
      <c r="C47" s="32">
        <v>0</v>
      </c>
      <c r="D47" s="32">
        <v>0</v>
      </c>
      <c r="E47" s="33">
        <f t="shared" ref="E47:F47" si="11">C47*12</f>
        <v>0</v>
      </c>
      <c r="F47" s="33">
        <f t="shared" si="11"/>
        <v>0</v>
      </c>
      <c r="G47" s="31"/>
    </row>
    <row r="48" spans="1:7" ht="24" customHeight="1" x14ac:dyDescent="0.2">
      <c r="B48" s="29" t="s">
        <v>163</v>
      </c>
      <c r="C48" s="30"/>
      <c r="D48" s="30"/>
      <c r="E48" s="30"/>
      <c r="F48" s="30"/>
      <c r="G48" s="30"/>
    </row>
    <row r="49" spans="2:7" ht="24" customHeight="1" x14ac:dyDescent="0.2">
      <c r="B49" s="31" t="s">
        <v>164</v>
      </c>
      <c r="C49" s="32">
        <v>0</v>
      </c>
      <c r="D49" s="32">
        <v>0</v>
      </c>
      <c r="E49" s="33">
        <f t="shared" ref="E49:F49" si="12">C49*12</f>
        <v>0</v>
      </c>
      <c r="F49" s="33">
        <f t="shared" si="12"/>
        <v>0</v>
      </c>
      <c r="G49" s="31"/>
    </row>
    <row r="50" spans="2:7" ht="24" customHeight="1" x14ac:dyDescent="0.2">
      <c r="B50" s="34" t="s">
        <v>165</v>
      </c>
      <c r="C50" s="36">
        <f>F27</f>
        <v>0</v>
      </c>
      <c r="D50" s="35">
        <v>0</v>
      </c>
      <c r="E50" s="36">
        <f t="shared" ref="E50:F50" si="13">C50*12</f>
        <v>0</v>
      </c>
      <c r="F50" s="36">
        <f t="shared" si="13"/>
        <v>0</v>
      </c>
      <c r="G50" s="34"/>
    </row>
    <row r="51" spans="2:7" ht="24" customHeight="1" x14ac:dyDescent="0.2">
      <c r="B51" s="31" t="s">
        <v>166</v>
      </c>
      <c r="C51" s="32">
        <v>0</v>
      </c>
      <c r="D51" s="32">
        <v>0</v>
      </c>
      <c r="E51" s="33">
        <f t="shared" ref="E51:F51" si="14">C51*12</f>
        <v>0</v>
      </c>
      <c r="F51" s="33">
        <f t="shared" si="14"/>
        <v>0</v>
      </c>
      <c r="G51" s="31"/>
    </row>
    <row r="52" spans="2:7" ht="24" customHeight="1" x14ac:dyDescent="0.2">
      <c r="B52" s="34" t="s">
        <v>167</v>
      </c>
      <c r="C52" s="35">
        <v>0</v>
      </c>
      <c r="D52" s="35">
        <v>0</v>
      </c>
      <c r="E52" s="36">
        <f t="shared" ref="E52:F52" si="15">C52*12</f>
        <v>0</v>
      </c>
      <c r="F52" s="36">
        <f t="shared" si="15"/>
        <v>0</v>
      </c>
      <c r="G52" s="34"/>
    </row>
    <row r="53" spans="2:7" ht="24" customHeight="1" x14ac:dyDescent="0.2">
      <c r="B53" s="31" t="s">
        <v>168</v>
      </c>
      <c r="C53" s="32">
        <v>0</v>
      </c>
      <c r="D53" s="32">
        <v>0</v>
      </c>
      <c r="E53" s="33">
        <f t="shared" ref="E53:F53" si="16">C53*12</f>
        <v>0</v>
      </c>
      <c r="F53" s="33">
        <f t="shared" si="16"/>
        <v>0</v>
      </c>
      <c r="G53" s="31"/>
    </row>
    <row r="54" spans="2:7" ht="24" customHeight="1" x14ac:dyDescent="0.2">
      <c r="B54" s="34" t="s">
        <v>169</v>
      </c>
      <c r="C54" s="35">
        <v>0</v>
      </c>
      <c r="D54" s="35">
        <v>0</v>
      </c>
      <c r="E54" s="36">
        <f t="shared" ref="E54:F54" si="17">C54*12</f>
        <v>0</v>
      </c>
      <c r="F54" s="36">
        <f t="shared" si="17"/>
        <v>0</v>
      </c>
      <c r="G54" s="34"/>
    </row>
    <row r="55" spans="2:7" ht="24" customHeight="1" x14ac:dyDescent="0.2">
      <c r="B55" s="31" t="s">
        <v>170</v>
      </c>
      <c r="C55" s="32">
        <v>0</v>
      </c>
      <c r="D55" s="32">
        <v>0</v>
      </c>
      <c r="E55" s="33">
        <f t="shared" ref="E55:F55" si="18">C55*12</f>
        <v>0</v>
      </c>
      <c r="F55" s="33">
        <f t="shared" si="18"/>
        <v>0</v>
      </c>
      <c r="G55" s="31"/>
    </row>
    <row r="56" spans="2:7" ht="24" customHeight="1" x14ac:dyDescent="0.2">
      <c r="B56" s="37" t="s">
        <v>171</v>
      </c>
      <c r="C56" s="38">
        <f t="shared" ref="C56:D56" si="19">SUM(C50:C55)</f>
        <v>0</v>
      </c>
      <c r="D56" s="38">
        <f t="shared" si="19"/>
        <v>0</v>
      </c>
      <c r="E56" s="38">
        <f t="shared" ref="E56:F56" si="20">C56*12</f>
        <v>0</v>
      </c>
      <c r="F56" s="38">
        <f t="shared" si="20"/>
        <v>0</v>
      </c>
      <c r="G56" s="37"/>
    </row>
    <row r="57" spans="2:7" ht="24" customHeight="1" x14ac:dyDescent="0.2">
      <c r="B57" s="31"/>
      <c r="C57" s="32">
        <v>0</v>
      </c>
      <c r="D57" s="32">
        <v>0</v>
      </c>
      <c r="E57" s="33">
        <f t="shared" ref="E57:F57" si="21">C57*12</f>
        <v>0</v>
      </c>
      <c r="F57" s="33">
        <f t="shared" si="21"/>
        <v>0</v>
      </c>
      <c r="G57" s="31"/>
    </row>
    <row r="58" spans="2:7" ht="24" customHeight="1" x14ac:dyDescent="0.2">
      <c r="B58" s="37" t="s">
        <v>172</v>
      </c>
      <c r="C58" s="38">
        <f t="shared" ref="C58:D58" si="22">C47-C57</f>
        <v>0</v>
      </c>
      <c r="D58" s="38">
        <f t="shared" si="22"/>
        <v>0</v>
      </c>
      <c r="E58" s="38">
        <f t="shared" ref="E58:F58" si="23">C58*12</f>
        <v>0</v>
      </c>
      <c r="F58" s="38">
        <f t="shared" si="23"/>
        <v>0</v>
      </c>
      <c r="G58" s="37"/>
    </row>
    <row r="59" spans="2:7" ht="15.75" customHeight="1" x14ac:dyDescent="0.2"/>
    <row r="60" spans="2:7" ht="15.75" customHeight="1" x14ac:dyDescent="0.2"/>
    <row r="61" spans="2:7" ht="15.75" customHeight="1" x14ac:dyDescent="0.2"/>
    <row r="62" spans="2:7" ht="15.75" customHeight="1" x14ac:dyDescent="0.2"/>
    <row r="63" spans="2:7" ht="15.75" customHeight="1" x14ac:dyDescent="0.2"/>
    <row r="64" spans="2: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
    <mergeCell ref="B38:G38"/>
    <mergeCell ref="A1:H1"/>
    <mergeCell ref="A2:H2"/>
    <mergeCell ref="B4:G4"/>
    <mergeCell ref="B19:G19"/>
    <mergeCell ref="B29:G29"/>
    <mergeCell ref="D30:G30"/>
    <mergeCell ref="D31:G31"/>
    <mergeCell ref="D32:G32"/>
    <mergeCell ref="D33:G33"/>
    <mergeCell ref="D34:G34"/>
    <mergeCell ref="D35:G35"/>
    <mergeCell ref="D36:G36"/>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6AB"/>
  </sheetPr>
  <dimension ref="A1:J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9765625" customWidth="1"/>
    <col min="2" max="2" width="22.05859375" customWidth="1"/>
    <col min="3" max="3" width="18.0234375" customWidth="1"/>
    <col min="4" max="4" width="22.05859375" customWidth="1"/>
    <col min="5" max="5" width="18.0234375" customWidth="1"/>
    <col min="6" max="6" width="16.0078125" customWidth="1"/>
    <col min="7" max="8" width="22.05859375" customWidth="1"/>
    <col min="9" max="9" width="27.98046875" customWidth="1"/>
    <col min="10" max="10" width="29.99609375" customWidth="1"/>
    <col min="11" max="26" width="8.7421875" customWidth="1"/>
  </cols>
  <sheetData>
    <row r="1" spans="1:10" ht="39.75" customHeight="1" x14ac:dyDescent="0.2">
      <c r="A1" s="84" t="s">
        <v>173</v>
      </c>
      <c r="B1" s="64"/>
      <c r="C1" s="64"/>
      <c r="D1" s="64"/>
      <c r="E1" s="64"/>
      <c r="F1" s="64"/>
      <c r="G1" s="64"/>
      <c r="H1" s="64"/>
      <c r="I1" s="64"/>
      <c r="J1" s="65"/>
    </row>
    <row r="2" spans="1:10" ht="21.75" customHeight="1" x14ac:dyDescent="0.2">
      <c r="A2" s="85" t="s">
        <v>174</v>
      </c>
      <c r="B2" s="71"/>
      <c r="C2" s="71"/>
      <c r="D2" s="71"/>
      <c r="E2" s="71"/>
      <c r="F2" s="71"/>
      <c r="G2" s="71"/>
      <c r="H2" s="71"/>
      <c r="I2" s="71"/>
      <c r="J2" s="72"/>
    </row>
    <row r="3" spans="1:10" ht="21.75" customHeight="1" x14ac:dyDescent="0.2">
      <c r="A3" s="83" t="s">
        <v>175</v>
      </c>
      <c r="B3" s="71"/>
      <c r="C3" s="71"/>
      <c r="D3" s="71"/>
      <c r="E3" s="71"/>
      <c r="F3" s="71"/>
      <c r="G3" s="71"/>
      <c r="H3" s="71"/>
      <c r="I3" s="71"/>
      <c r="J3" s="72"/>
    </row>
    <row r="4" spans="1:10" ht="27.75" customHeight="1" x14ac:dyDescent="0.2">
      <c r="A4" s="39" t="s">
        <v>5</v>
      </c>
      <c r="B4" s="39" t="s">
        <v>176</v>
      </c>
      <c r="C4" s="39" t="s">
        <v>177</v>
      </c>
      <c r="D4" s="39" t="s">
        <v>178</v>
      </c>
      <c r="E4" s="39" t="s">
        <v>179</v>
      </c>
      <c r="F4" s="39" t="s">
        <v>180</v>
      </c>
      <c r="G4" s="39" t="s">
        <v>181</v>
      </c>
      <c r="H4" s="39" t="s">
        <v>182</v>
      </c>
      <c r="I4" s="39" t="s">
        <v>183</v>
      </c>
      <c r="J4" s="39" t="s">
        <v>184</v>
      </c>
    </row>
    <row r="5" spans="1:10" ht="27.75" customHeight="1" x14ac:dyDescent="0.2">
      <c r="A5" s="40">
        <v>1</v>
      </c>
      <c r="B5" s="40"/>
      <c r="C5" s="40"/>
      <c r="D5" s="40"/>
      <c r="E5" s="40"/>
      <c r="F5" s="40"/>
      <c r="G5" s="40"/>
      <c r="H5" s="40"/>
      <c r="I5" s="40"/>
      <c r="J5" s="40"/>
    </row>
    <row r="6" spans="1:10" ht="27.75" customHeight="1" x14ac:dyDescent="0.2">
      <c r="A6" s="41">
        <v>2</v>
      </c>
      <c r="B6" s="41"/>
      <c r="C6" s="41"/>
      <c r="D6" s="41"/>
      <c r="E6" s="41"/>
      <c r="F6" s="41"/>
      <c r="G6" s="41"/>
      <c r="H6" s="41"/>
      <c r="I6" s="41"/>
      <c r="J6" s="41"/>
    </row>
    <row r="7" spans="1:10" ht="27.75" customHeight="1" x14ac:dyDescent="0.2">
      <c r="A7" s="40">
        <v>3</v>
      </c>
      <c r="B7" s="40"/>
      <c r="C7" s="40"/>
      <c r="D7" s="40"/>
      <c r="E7" s="40"/>
      <c r="F7" s="40"/>
      <c r="G7" s="40"/>
      <c r="H7" s="40"/>
      <c r="I7" s="40"/>
      <c r="J7" s="40"/>
    </row>
    <row r="8" spans="1:10" ht="27.75" customHeight="1" x14ac:dyDescent="0.2">
      <c r="A8" s="41">
        <v>4</v>
      </c>
      <c r="B8" s="41"/>
      <c r="C8" s="41"/>
      <c r="D8" s="41"/>
      <c r="E8" s="41"/>
      <c r="F8" s="41"/>
      <c r="G8" s="41"/>
      <c r="H8" s="41"/>
      <c r="I8" s="41"/>
      <c r="J8" s="41"/>
    </row>
    <row r="9" spans="1:10" ht="21.75" customHeight="1" x14ac:dyDescent="0.2">
      <c r="A9" s="31">
        <v>5</v>
      </c>
      <c r="B9" s="42"/>
      <c r="C9" s="42"/>
      <c r="D9" s="42"/>
      <c r="E9" s="42"/>
      <c r="F9" s="42"/>
      <c r="G9" s="42"/>
      <c r="H9" s="42"/>
      <c r="I9" s="42"/>
      <c r="J9" s="42"/>
    </row>
    <row r="10" spans="1:10" ht="21.75" customHeight="1" x14ac:dyDescent="0.2">
      <c r="A10" s="34">
        <v>6</v>
      </c>
      <c r="B10" s="43"/>
      <c r="C10" s="43"/>
      <c r="D10" s="43"/>
      <c r="E10" s="43"/>
      <c r="F10" s="43"/>
      <c r="G10" s="43"/>
      <c r="H10" s="43"/>
      <c r="I10" s="43"/>
      <c r="J10" s="43"/>
    </row>
    <row r="11" spans="1:10" ht="21.75" customHeight="1" x14ac:dyDescent="0.2">
      <c r="A11" s="31">
        <v>7</v>
      </c>
      <c r="B11" s="42"/>
      <c r="C11" s="42"/>
      <c r="D11" s="42"/>
      <c r="E11" s="42"/>
      <c r="F11" s="42"/>
      <c r="G11" s="42"/>
      <c r="H11" s="42"/>
      <c r="I11" s="42"/>
      <c r="J11" s="42"/>
    </row>
    <row r="12" spans="1:10" ht="21.75" customHeight="1" x14ac:dyDescent="0.2">
      <c r="A12" s="34">
        <v>8</v>
      </c>
      <c r="B12" s="43"/>
      <c r="C12" s="43"/>
      <c r="D12" s="43"/>
      <c r="E12" s="43"/>
      <c r="F12" s="43"/>
      <c r="G12" s="43"/>
      <c r="H12" s="43"/>
      <c r="I12" s="43"/>
      <c r="J12" s="43"/>
    </row>
    <row r="13" spans="1:10" ht="21.75" customHeight="1" x14ac:dyDescent="0.2">
      <c r="A13" s="31">
        <v>9</v>
      </c>
      <c r="B13" s="42"/>
      <c r="C13" s="42"/>
      <c r="D13" s="42"/>
      <c r="E13" s="42"/>
      <c r="F13" s="42"/>
      <c r="G13" s="42"/>
      <c r="H13" s="42"/>
      <c r="I13" s="42"/>
      <c r="J13" s="42"/>
    </row>
    <row r="14" spans="1:10" ht="21.75" customHeight="1" x14ac:dyDescent="0.2">
      <c r="A14" s="34">
        <v>10</v>
      </c>
      <c r="B14" s="43"/>
      <c r="C14" s="43"/>
      <c r="D14" s="43"/>
      <c r="E14" s="43"/>
      <c r="F14" s="43"/>
      <c r="G14" s="43"/>
      <c r="H14" s="43"/>
      <c r="I14" s="43"/>
      <c r="J14" s="43"/>
    </row>
    <row r="15" spans="1:10" ht="21.75" customHeight="1" x14ac:dyDescent="0.2">
      <c r="A15" s="31">
        <v>11</v>
      </c>
      <c r="B15" s="42"/>
      <c r="C15" s="42"/>
      <c r="D15" s="42"/>
      <c r="E15" s="42"/>
      <c r="F15" s="42"/>
      <c r="G15" s="42"/>
      <c r="H15" s="42"/>
      <c r="I15" s="42"/>
      <c r="J15" s="42"/>
    </row>
    <row r="16" spans="1:10" ht="21.75" customHeight="1" x14ac:dyDescent="0.2">
      <c r="A16" s="34">
        <v>12</v>
      </c>
      <c r="B16" s="43"/>
      <c r="C16" s="43"/>
      <c r="D16" s="43"/>
      <c r="E16" s="43"/>
      <c r="F16" s="43"/>
      <c r="G16" s="43"/>
      <c r="H16" s="43"/>
      <c r="I16" s="43"/>
      <c r="J16" s="43"/>
    </row>
    <row r="17" spans="1:10" ht="21.75" customHeight="1" x14ac:dyDescent="0.2">
      <c r="A17" s="31">
        <v>13</v>
      </c>
      <c r="B17" s="42"/>
      <c r="C17" s="42"/>
      <c r="D17" s="42"/>
      <c r="E17" s="42"/>
      <c r="F17" s="42"/>
      <c r="G17" s="42"/>
      <c r="H17" s="42"/>
      <c r="I17" s="42"/>
      <c r="J17" s="42"/>
    </row>
    <row r="18" spans="1:10" ht="21.75" customHeight="1" x14ac:dyDescent="0.2">
      <c r="A18" s="34">
        <v>14</v>
      </c>
      <c r="B18" s="43"/>
      <c r="C18" s="43"/>
      <c r="D18" s="43"/>
      <c r="E18" s="43"/>
      <c r="F18" s="43"/>
      <c r="G18" s="43"/>
      <c r="H18" s="43"/>
      <c r="I18" s="43"/>
      <c r="J18" s="43"/>
    </row>
    <row r="19" spans="1:10" ht="21.75" customHeight="1" x14ac:dyDescent="0.2">
      <c r="A19" s="31">
        <v>15</v>
      </c>
      <c r="B19" s="42"/>
      <c r="C19" s="42"/>
      <c r="D19" s="42"/>
      <c r="E19" s="42"/>
      <c r="F19" s="42"/>
      <c r="G19" s="42"/>
      <c r="H19" s="42"/>
      <c r="I19" s="42"/>
      <c r="J19" s="42"/>
    </row>
    <row r="20" spans="1:10" ht="21.75" customHeight="1" x14ac:dyDescent="0.2">
      <c r="A20" s="34">
        <v>16</v>
      </c>
      <c r="B20" s="43"/>
      <c r="C20" s="43"/>
      <c r="D20" s="43"/>
      <c r="E20" s="43"/>
      <c r="F20" s="43"/>
      <c r="G20" s="43"/>
      <c r="H20" s="43"/>
      <c r="I20" s="43"/>
      <c r="J20" s="43"/>
    </row>
    <row r="21" spans="1:10" ht="21.75" customHeight="1" x14ac:dyDescent="0.2">
      <c r="A21" s="31">
        <v>17</v>
      </c>
      <c r="B21" s="42"/>
      <c r="C21" s="42"/>
      <c r="D21" s="42"/>
      <c r="E21" s="42"/>
      <c r="F21" s="42"/>
      <c r="G21" s="42"/>
      <c r="H21" s="42"/>
      <c r="I21" s="42"/>
      <c r="J21" s="42"/>
    </row>
    <row r="22" spans="1:10" ht="21.75" customHeight="1" x14ac:dyDescent="0.2">
      <c r="A22" s="34">
        <v>18</v>
      </c>
      <c r="B22" s="43"/>
      <c r="C22" s="43"/>
      <c r="D22" s="43"/>
      <c r="E22" s="43"/>
      <c r="F22" s="43"/>
      <c r="G22" s="43"/>
      <c r="H22" s="43"/>
      <c r="I22" s="43"/>
      <c r="J22" s="43"/>
    </row>
    <row r="23" spans="1:10" ht="21.75" customHeight="1" x14ac:dyDescent="0.2">
      <c r="A23" s="31">
        <v>19</v>
      </c>
      <c r="B23" s="42"/>
      <c r="C23" s="42"/>
      <c r="D23" s="42"/>
      <c r="E23" s="42"/>
      <c r="F23" s="42"/>
      <c r="G23" s="42"/>
      <c r="H23" s="42"/>
      <c r="I23" s="42"/>
      <c r="J23" s="42"/>
    </row>
    <row r="24" spans="1:10" ht="21.75" customHeight="1" x14ac:dyDescent="0.2">
      <c r="A24" s="34">
        <v>20</v>
      </c>
      <c r="B24" s="43"/>
      <c r="C24" s="43"/>
      <c r="D24" s="43"/>
      <c r="E24" s="43"/>
      <c r="F24" s="43"/>
      <c r="G24" s="43"/>
      <c r="H24" s="43"/>
      <c r="I24" s="43"/>
      <c r="J24" s="43"/>
    </row>
    <row r="25" spans="1:10" ht="12" customHeight="1" x14ac:dyDescent="0.2"/>
    <row r="26" spans="1:10" ht="25.5" customHeight="1" x14ac:dyDescent="0.2">
      <c r="A26" s="86" t="s">
        <v>185</v>
      </c>
      <c r="B26" s="71"/>
      <c r="C26" s="71"/>
      <c r="D26" s="71"/>
      <c r="E26" s="71"/>
      <c r="F26" s="71"/>
      <c r="G26" s="71"/>
      <c r="H26" s="71"/>
      <c r="I26" s="71"/>
      <c r="J26" s="72"/>
    </row>
    <row r="27" spans="1:10" ht="27.75" customHeight="1" x14ac:dyDescent="0.2">
      <c r="A27" s="83" t="s">
        <v>186</v>
      </c>
      <c r="B27" s="71"/>
      <c r="C27" s="71"/>
      <c r="D27" s="71"/>
      <c r="E27" s="71"/>
      <c r="F27" s="71"/>
      <c r="G27" s="71"/>
      <c r="H27" s="71"/>
      <c r="I27" s="71"/>
      <c r="J27" s="72"/>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J1"/>
    <mergeCell ref="A2:J2"/>
    <mergeCell ref="A3:J3"/>
    <mergeCell ref="A26:J26"/>
    <mergeCell ref="A27:J27"/>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449"/>
  </sheetPr>
  <dimension ref="A1:J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9765625" customWidth="1"/>
    <col min="2" max="2" width="20.04296875" customWidth="1"/>
    <col min="3" max="4" width="22.05859375" customWidth="1"/>
    <col min="5" max="5" width="18.0234375" customWidth="1"/>
    <col min="6" max="8" width="20.04296875" customWidth="1"/>
    <col min="9" max="10" width="27.98046875" customWidth="1"/>
    <col min="11" max="26" width="8.7421875" customWidth="1"/>
  </cols>
  <sheetData>
    <row r="1" spans="1:10" ht="39.75" customHeight="1" x14ac:dyDescent="0.2">
      <c r="A1" s="84" t="s">
        <v>187</v>
      </c>
      <c r="B1" s="64"/>
      <c r="C1" s="64"/>
      <c r="D1" s="64"/>
      <c r="E1" s="64"/>
      <c r="F1" s="64"/>
      <c r="G1" s="64"/>
      <c r="H1" s="64"/>
      <c r="I1" s="64"/>
      <c r="J1" s="65"/>
    </row>
    <row r="2" spans="1:10" ht="21.75" customHeight="1" x14ac:dyDescent="0.2">
      <c r="A2" s="85" t="s">
        <v>188</v>
      </c>
      <c r="B2" s="71"/>
      <c r="C2" s="71"/>
      <c r="D2" s="71"/>
      <c r="E2" s="71"/>
      <c r="F2" s="71"/>
      <c r="G2" s="71"/>
      <c r="H2" s="71"/>
      <c r="I2" s="71"/>
      <c r="J2" s="72"/>
    </row>
    <row r="3" spans="1:10" ht="25.5" customHeight="1" x14ac:dyDescent="0.2">
      <c r="A3" s="70" t="s">
        <v>189</v>
      </c>
      <c r="B3" s="71"/>
      <c r="C3" s="71"/>
      <c r="D3" s="71"/>
      <c r="E3" s="71"/>
      <c r="F3" s="71"/>
      <c r="G3" s="71"/>
      <c r="H3" s="71"/>
      <c r="I3" s="71"/>
      <c r="J3" s="72"/>
    </row>
    <row r="4" spans="1:10" ht="24" customHeight="1" x14ac:dyDescent="0.2">
      <c r="A4" s="44" t="s">
        <v>5</v>
      </c>
      <c r="B4" s="44" t="s">
        <v>190</v>
      </c>
      <c r="C4" s="44" t="s">
        <v>191</v>
      </c>
      <c r="D4" s="44" t="s">
        <v>192</v>
      </c>
      <c r="E4" s="44" t="s">
        <v>193</v>
      </c>
      <c r="F4" s="44" t="s">
        <v>194</v>
      </c>
      <c r="G4" s="44" t="s">
        <v>195</v>
      </c>
      <c r="H4" s="44" t="s">
        <v>196</v>
      </c>
      <c r="I4" s="44" t="s">
        <v>197</v>
      </c>
      <c r="J4" s="44" t="s">
        <v>198</v>
      </c>
    </row>
    <row r="5" spans="1:10" ht="27.75" customHeight="1" x14ac:dyDescent="0.2">
      <c r="A5" s="40">
        <v>1</v>
      </c>
      <c r="B5" s="40" t="s">
        <v>199</v>
      </c>
      <c r="C5" s="40" t="s">
        <v>200</v>
      </c>
      <c r="D5" s="40" t="s">
        <v>201</v>
      </c>
      <c r="E5" s="40" t="s">
        <v>202</v>
      </c>
      <c r="F5" s="40" t="s">
        <v>203</v>
      </c>
      <c r="G5" s="40" t="s">
        <v>204</v>
      </c>
      <c r="H5" s="40" t="s">
        <v>205</v>
      </c>
      <c r="I5" s="40" t="s">
        <v>206</v>
      </c>
      <c r="J5" s="40" t="s">
        <v>207</v>
      </c>
    </row>
    <row r="6" spans="1:10" ht="27.75" customHeight="1" x14ac:dyDescent="0.2">
      <c r="A6" s="41">
        <v>2</v>
      </c>
      <c r="B6" s="41" t="s">
        <v>199</v>
      </c>
      <c r="C6" s="41" t="s">
        <v>208</v>
      </c>
      <c r="D6" s="41" t="s">
        <v>201</v>
      </c>
      <c r="E6" s="41" t="s">
        <v>209</v>
      </c>
      <c r="F6" s="41" t="s">
        <v>210</v>
      </c>
      <c r="G6" s="41" t="s">
        <v>210</v>
      </c>
      <c r="H6" s="41" t="s">
        <v>211</v>
      </c>
      <c r="I6" s="41" t="s">
        <v>212</v>
      </c>
      <c r="J6" s="41" t="s">
        <v>213</v>
      </c>
    </row>
    <row r="7" spans="1:10" ht="9.75" customHeight="1" x14ac:dyDescent="0.2">
      <c r="A7" s="42"/>
      <c r="B7" s="42"/>
      <c r="C7" s="42"/>
      <c r="D7" s="42"/>
      <c r="E7" s="42"/>
      <c r="F7" s="42"/>
      <c r="G7" s="42"/>
      <c r="H7" s="42"/>
      <c r="I7" s="42"/>
      <c r="J7" s="42"/>
    </row>
    <row r="8" spans="1:10" ht="25.5" customHeight="1" x14ac:dyDescent="0.2">
      <c r="A8" s="70" t="s">
        <v>214</v>
      </c>
      <c r="B8" s="71"/>
      <c r="C8" s="71"/>
      <c r="D8" s="71"/>
      <c r="E8" s="71"/>
      <c r="F8" s="71"/>
      <c r="G8" s="71"/>
      <c r="H8" s="71"/>
      <c r="I8" s="71"/>
      <c r="J8" s="72"/>
    </row>
    <row r="9" spans="1:10" ht="24" customHeight="1" x14ac:dyDescent="0.2">
      <c r="A9" s="44" t="s">
        <v>5</v>
      </c>
      <c r="B9" s="44" t="s">
        <v>190</v>
      </c>
      <c r="C9" s="44" t="s">
        <v>191</v>
      </c>
      <c r="D9" s="44" t="s">
        <v>192</v>
      </c>
      <c r="E9" s="44" t="s">
        <v>193</v>
      </c>
      <c r="F9" s="44" t="s">
        <v>194</v>
      </c>
      <c r="G9" s="44" t="s">
        <v>195</v>
      </c>
      <c r="H9" s="44" t="s">
        <v>196</v>
      </c>
      <c r="I9" s="44" t="s">
        <v>197</v>
      </c>
      <c r="J9" s="44" t="s">
        <v>198</v>
      </c>
    </row>
    <row r="10" spans="1:10" ht="27.75" customHeight="1" x14ac:dyDescent="0.2">
      <c r="A10" s="41">
        <v>3</v>
      </c>
      <c r="B10" s="41" t="s">
        <v>215</v>
      </c>
      <c r="C10" s="41" t="s">
        <v>216</v>
      </c>
      <c r="D10" s="41" t="s">
        <v>201</v>
      </c>
      <c r="E10" s="41" t="s">
        <v>217</v>
      </c>
      <c r="F10" s="41" t="s">
        <v>218</v>
      </c>
      <c r="G10" s="41" t="s">
        <v>219</v>
      </c>
      <c r="H10" s="41" t="s">
        <v>220</v>
      </c>
      <c r="I10" s="41" t="s">
        <v>221</v>
      </c>
      <c r="J10" s="41" t="s">
        <v>222</v>
      </c>
    </row>
    <row r="11" spans="1:10" ht="27.75" customHeight="1" x14ac:dyDescent="0.2">
      <c r="A11" s="40">
        <v>4</v>
      </c>
      <c r="B11" s="40" t="s">
        <v>215</v>
      </c>
      <c r="C11" s="40" t="s">
        <v>223</v>
      </c>
      <c r="D11" s="40" t="s">
        <v>201</v>
      </c>
      <c r="E11" s="40" t="s">
        <v>224</v>
      </c>
      <c r="F11" s="40" t="s">
        <v>203</v>
      </c>
      <c r="G11" s="40" t="s">
        <v>225</v>
      </c>
      <c r="H11" s="40" t="s">
        <v>205</v>
      </c>
      <c r="I11" s="40" t="s">
        <v>226</v>
      </c>
      <c r="J11" s="40" t="s">
        <v>227</v>
      </c>
    </row>
    <row r="12" spans="1:10" ht="9.75" customHeight="1" x14ac:dyDescent="0.2">
      <c r="A12" s="42"/>
      <c r="B12" s="42"/>
      <c r="C12" s="42"/>
      <c r="D12" s="42"/>
      <c r="E12" s="42"/>
      <c r="F12" s="42"/>
      <c r="G12" s="42"/>
      <c r="H12" s="42"/>
      <c r="I12" s="42"/>
      <c r="J12" s="42"/>
    </row>
    <row r="13" spans="1:10" ht="25.5" customHeight="1" x14ac:dyDescent="0.2">
      <c r="A13" s="70" t="s">
        <v>228</v>
      </c>
      <c r="B13" s="71"/>
      <c r="C13" s="71"/>
      <c r="D13" s="71"/>
      <c r="E13" s="71"/>
      <c r="F13" s="71"/>
      <c r="G13" s="71"/>
      <c r="H13" s="71"/>
      <c r="I13" s="71"/>
      <c r="J13" s="72"/>
    </row>
    <row r="14" spans="1:10" ht="24" customHeight="1" x14ac:dyDescent="0.2">
      <c r="A14" s="44" t="s">
        <v>5</v>
      </c>
      <c r="B14" s="44" t="s">
        <v>190</v>
      </c>
      <c r="C14" s="44" t="s">
        <v>191</v>
      </c>
      <c r="D14" s="44" t="s">
        <v>192</v>
      </c>
      <c r="E14" s="44" t="s">
        <v>193</v>
      </c>
      <c r="F14" s="44" t="s">
        <v>194</v>
      </c>
      <c r="G14" s="44" t="s">
        <v>195</v>
      </c>
      <c r="H14" s="44" t="s">
        <v>196</v>
      </c>
      <c r="I14" s="44" t="s">
        <v>197</v>
      </c>
      <c r="J14" s="44" t="s">
        <v>198</v>
      </c>
    </row>
    <row r="15" spans="1:10" ht="27.75" customHeight="1" x14ac:dyDescent="0.2">
      <c r="A15" s="40">
        <v>5</v>
      </c>
      <c r="B15" s="40" t="s">
        <v>229</v>
      </c>
      <c r="C15" s="40" t="s">
        <v>230</v>
      </c>
      <c r="D15" s="40"/>
      <c r="E15" s="40" t="s">
        <v>231</v>
      </c>
      <c r="F15" s="40" t="s">
        <v>232</v>
      </c>
      <c r="G15" s="40" t="s">
        <v>233</v>
      </c>
      <c r="H15" s="40" t="s">
        <v>220</v>
      </c>
      <c r="I15" s="40" t="s">
        <v>234</v>
      </c>
      <c r="J15" s="40" t="s">
        <v>235</v>
      </c>
    </row>
    <row r="16" spans="1:10" ht="9.75" customHeight="1" x14ac:dyDescent="0.2">
      <c r="A16" s="42"/>
      <c r="B16" s="42"/>
      <c r="C16" s="42"/>
      <c r="D16" s="42"/>
      <c r="E16" s="42"/>
      <c r="F16" s="42"/>
      <c r="G16" s="42"/>
      <c r="H16" s="42"/>
      <c r="I16" s="42"/>
      <c r="J16" s="42"/>
    </row>
    <row r="17" spans="1:10" ht="25.5" customHeight="1" x14ac:dyDescent="0.2">
      <c r="A17" s="70" t="s">
        <v>236</v>
      </c>
      <c r="B17" s="71"/>
      <c r="C17" s="71"/>
      <c r="D17" s="71"/>
      <c r="E17" s="71"/>
      <c r="F17" s="71"/>
      <c r="G17" s="71"/>
      <c r="H17" s="71"/>
      <c r="I17" s="71"/>
      <c r="J17" s="72"/>
    </row>
    <row r="18" spans="1:10" ht="24" customHeight="1" x14ac:dyDescent="0.2">
      <c r="A18" s="44" t="s">
        <v>5</v>
      </c>
      <c r="B18" s="44" t="s">
        <v>190</v>
      </c>
      <c r="C18" s="44" t="s">
        <v>191</v>
      </c>
      <c r="D18" s="44" t="s">
        <v>192</v>
      </c>
      <c r="E18" s="44" t="s">
        <v>193</v>
      </c>
      <c r="F18" s="44" t="s">
        <v>194</v>
      </c>
      <c r="G18" s="44" t="s">
        <v>195</v>
      </c>
      <c r="H18" s="44" t="s">
        <v>196</v>
      </c>
      <c r="I18" s="44" t="s">
        <v>197</v>
      </c>
      <c r="J18" s="44" t="s">
        <v>198</v>
      </c>
    </row>
    <row r="19" spans="1:10" ht="27.75" customHeight="1" x14ac:dyDescent="0.2">
      <c r="A19" s="40">
        <v>6</v>
      </c>
      <c r="B19" s="40" t="s">
        <v>237</v>
      </c>
      <c r="C19" s="40" t="s">
        <v>238</v>
      </c>
      <c r="D19" s="40"/>
      <c r="E19" s="40" t="s">
        <v>239</v>
      </c>
      <c r="F19" s="40" t="s">
        <v>240</v>
      </c>
      <c r="G19" s="40" t="s">
        <v>241</v>
      </c>
      <c r="H19" s="40" t="s">
        <v>242</v>
      </c>
      <c r="I19" s="40" t="s">
        <v>243</v>
      </c>
      <c r="J19" s="40" t="s">
        <v>244</v>
      </c>
    </row>
    <row r="20" spans="1:10" ht="27.75" customHeight="1" x14ac:dyDescent="0.2">
      <c r="A20" s="41">
        <v>7</v>
      </c>
      <c r="B20" s="41" t="s">
        <v>237</v>
      </c>
      <c r="C20" s="41" t="s">
        <v>245</v>
      </c>
      <c r="D20" s="41"/>
      <c r="E20" s="41" t="s">
        <v>246</v>
      </c>
      <c r="F20" s="41" t="s">
        <v>247</v>
      </c>
      <c r="G20" s="41" t="s">
        <v>248</v>
      </c>
      <c r="H20" s="41" t="s">
        <v>249</v>
      </c>
      <c r="I20" s="41" t="s">
        <v>250</v>
      </c>
      <c r="J20" s="41" t="s">
        <v>251</v>
      </c>
    </row>
    <row r="21" spans="1:10" ht="9.75" customHeight="1" x14ac:dyDescent="0.2">
      <c r="A21" s="42"/>
      <c r="B21" s="42"/>
      <c r="C21" s="42"/>
      <c r="D21" s="42"/>
      <c r="E21" s="42"/>
      <c r="F21" s="42"/>
      <c r="G21" s="42"/>
      <c r="H21" s="42"/>
      <c r="I21" s="42"/>
      <c r="J21" s="42"/>
    </row>
    <row r="22" spans="1:10" ht="25.5" customHeight="1" x14ac:dyDescent="0.2">
      <c r="A22" s="70" t="s">
        <v>252</v>
      </c>
      <c r="B22" s="71"/>
      <c r="C22" s="71"/>
      <c r="D22" s="71"/>
      <c r="E22" s="71"/>
      <c r="F22" s="71"/>
      <c r="G22" s="71"/>
      <c r="H22" s="71"/>
      <c r="I22" s="71"/>
      <c r="J22" s="72"/>
    </row>
    <row r="23" spans="1:10" ht="24" customHeight="1" x14ac:dyDescent="0.2">
      <c r="A23" s="44" t="s">
        <v>5</v>
      </c>
      <c r="B23" s="44" t="s">
        <v>190</v>
      </c>
      <c r="C23" s="44" t="s">
        <v>191</v>
      </c>
      <c r="D23" s="44" t="s">
        <v>192</v>
      </c>
      <c r="E23" s="44" t="s">
        <v>193</v>
      </c>
      <c r="F23" s="44" t="s">
        <v>194</v>
      </c>
      <c r="G23" s="44" t="s">
        <v>195</v>
      </c>
      <c r="H23" s="44" t="s">
        <v>196</v>
      </c>
      <c r="I23" s="44" t="s">
        <v>197</v>
      </c>
      <c r="J23" s="44" t="s">
        <v>198</v>
      </c>
    </row>
    <row r="24" spans="1:10" ht="27.75" customHeight="1" x14ac:dyDescent="0.2">
      <c r="A24" s="41">
        <v>8</v>
      </c>
      <c r="B24" s="41" t="s">
        <v>253</v>
      </c>
      <c r="C24" s="41" t="s">
        <v>254</v>
      </c>
      <c r="D24" s="41"/>
      <c r="E24" s="41" t="s">
        <v>255</v>
      </c>
      <c r="F24" s="41" t="s">
        <v>240</v>
      </c>
      <c r="G24" s="41" t="s">
        <v>248</v>
      </c>
      <c r="H24" s="41" t="s">
        <v>220</v>
      </c>
      <c r="I24" s="41" t="s">
        <v>256</v>
      </c>
      <c r="J24" s="41" t="s">
        <v>257</v>
      </c>
    </row>
    <row r="25" spans="1:10" ht="27.75" customHeight="1" x14ac:dyDescent="0.2">
      <c r="A25" s="40">
        <v>9</v>
      </c>
      <c r="B25" s="40" t="s">
        <v>258</v>
      </c>
      <c r="C25" s="40" t="s">
        <v>259</v>
      </c>
      <c r="D25" s="40"/>
      <c r="E25" s="40" t="s">
        <v>260</v>
      </c>
      <c r="F25" s="40" t="s">
        <v>261</v>
      </c>
      <c r="G25" s="40" t="s">
        <v>233</v>
      </c>
      <c r="H25" s="40" t="s">
        <v>220</v>
      </c>
      <c r="I25" s="40" t="s">
        <v>262</v>
      </c>
      <c r="J25" s="40" t="s">
        <v>263</v>
      </c>
    </row>
    <row r="26" spans="1:10" ht="9.75" customHeight="1" x14ac:dyDescent="0.2">
      <c r="A26" s="42"/>
      <c r="B26" s="42"/>
      <c r="C26" s="42"/>
      <c r="D26" s="42"/>
      <c r="E26" s="42"/>
      <c r="F26" s="42"/>
      <c r="G26" s="42"/>
      <c r="H26" s="42"/>
      <c r="I26" s="42"/>
      <c r="J26" s="42"/>
    </row>
    <row r="27" spans="1:10" ht="36" customHeight="1" x14ac:dyDescent="0.2">
      <c r="A27" s="85" t="s">
        <v>264</v>
      </c>
      <c r="B27" s="71"/>
      <c r="C27" s="71"/>
      <c r="D27" s="71"/>
      <c r="E27" s="71"/>
      <c r="F27" s="71"/>
      <c r="G27" s="71"/>
      <c r="H27" s="71"/>
      <c r="I27" s="71"/>
      <c r="J27" s="72"/>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7:J17"/>
    <mergeCell ref="A22:J22"/>
    <mergeCell ref="A27:J27"/>
    <mergeCell ref="A1:J1"/>
    <mergeCell ref="A2:J2"/>
    <mergeCell ref="A3:J3"/>
    <mergeCell ref="A8:J8"/>
    <mergeCell ref="A13:J13"/>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B4513"/>
  </sheetPr>
  <dimension ref="A1:K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2.05859375" customWidth="1"/>
    <col min="3" max="4" width="18.0234375" customWidth="1"/>
    <col min="5" max="6" width="16.0078125" customWidth="1"/>
    <col min="7" max="7" width="13.98828125" customWidth="1"/>
    <col min="8" max="9" width="16.0078125" customWidth="1"/>
    <col min="10" max="10" width="20.04296875" customWidth="1"/>
    <col min="11" max="11" width="27.98046875" customWidth="1"/>
    <col min="12" max="26" width="8.7421875" customWidth="1"/>
  </cols>
  <sheetData>
    <row r="1" spans="1:11" ht="39.75" customHeight="1" x14ac:dyDescent="0.2">
      <c r="A1" s="84" t="s">
        <v>265</v>
      </c>
      <c r="B1" s="64"/>
      <c r="C1" s="64"/>
      <c r="D1" s="64"/>
      <c r="E1" s="64"/>
      <c r="F1" s="64"/>
      <c r="G1" s="64"/>
      <c r="H1" s="64"/>
      <c r="I1" s="64"/>
      <c r="J1" s="64"/>
      <c r="K1" s="65"/>
    </row>
    <row r="2" spans="1:11" ht="27.75" customHeight="1" x14ac:dyDescent="0.2">
      <c r="A2" s="83" t="s">
        <v>266</v>
      </c>
      <c r="B2" s="71"/>
      <c r="C2" s="71"/>
      <c r="D2" s="71"/>
      <c r="E2" s="71"/>
      <c r="F2" s="71"/>
      <c r="G2" s="71"/>
      <c r="H2" s="71"/>
      <c r="I2" s="71"/>
      <c r="J2" s="71"/>
      <c r="K2" s="72"/>
    </row>
    <row r="3" spans="1:11" ht="27.75" customHeight="1" x14ac:dyDescent="0.2">
      <c r="A3" s="39" t="s">
        <v>5</v>
      </c>
      <c r="B3" s="39" t="s">
        <v>267</v>
      </c>
      <c r="C3" s="39" t="s">
        <v>268</v>
      </c>
      <c r="D3" s="39" t="s">
        <v>269</v>
      </c>
      <c r="E3" s="39" t="s">
        <v>270</v>
      </c>
      <c r="F3" s="39" t="s">
        <v>271</v>
      </c>
      <c r="G3" s="39" t="s">
        <v>272</v>
      </c>
      <c r="H3" s="39" t="s">
        <v>273</v>
      </c>
      <c r="I3" s="39" t="s">
        <v>274</v>
      </c>
      <c r="J3" s="39" t="s">
        <v>275</v>
      </c>
      <c r="K3" s="39" t="s">
        <v>276</v>
      </c>
    </row>
    <row r="4" spans="1:11" ht="36" customHeight="1" x14ac:dyDescent="0.2">
      <c r="A4" s="41">
        <v>1</v>
      </c>
      <c r="B4" s="41" t="s">
        <v>277</v>
      </c>
      <c r="C4" s="41" t="s">
        <v>278</v>
      </c>
      <c r="D4" s="41" t="s">
        <v>279</v>
      </c>
      <c r="E4" s="41" t="s">
        <v>280</v>
      </c>
      <c r="F4" s="41" t="s">
        <v>281</v>
      </c>
      <c r="G4" s="41" t="s">
        <v>282</v>
      </c>
      <c r="H4" s="41" t="s">
        <v>283</v>
      </c>
      <c r="I4" s="41" t="s">
        <v>284</v>
      </c>
      <c r="J4" s="41" t="s">
        <v>285</v>
      </c>
      <c r="K4" s="41" t="s">
        <v>286</v>
      </c>
    </row>
    <row r="5" spans="1:11" ht="36" customHeight="1" x14ac:dyDescent="0.2">
      <c r="A5" s="40">
        <v>2</v>
      </c>
      <c r="B5" s="40" t="s">
        <v>287</v>
      </c>
      <c r="C5" s="40" t="s">
        <v>278</v>
      </c>
      <c r="D5" s="40" t="s">
        <v>288</v>
      </c>
      <c r="E5" s="40" t="s">
        <v>289</v>
      </c>
      <c r="F5" s="40" t="s">
        <v>290</v>
      </c>
      <c r="G5" s="40" t="s">
        <v>291</v>
      </c>
      <c r="H5" s="40" t="s">
        <v>292</v>
      </c>
      <c r="I5" s="40" t="s">
        <v>293</v>
      </c>
      <c r="J5" s="40" t="s">
        <v>294</v>
      </c>
      <c r="K5" s="40" t="s">
        <v>295</v>
      </c>
    </row>
    <row r="6" spans="1:11" ht="36" customHeight="1" x14ac:dyDescent="0.2">
      <c r="A6" s="41">
        <v>3</v>
      </c>
      <c r="B6" s="41" t="s">
        <v>296</v>
      </c>
      <c r="C6" s="41" t="s">
        <v>297</v>
      </c>
      <c r="D6" s="41" t="s">
        <v>298</v>
      </c>
      <c r="E6" s="41" t="s">
        <v>299</v>
      </c>
      <c r="F6" s="41" t="s">
        <v>300</v>
      </c>
      <c r="G6" s="41" t="s">
        <v>301</v>
      </c>
      <c r="H6" s="41" t="s">
        <v>302</v>
      </c>
      <c r="I6" s="41" t="s">
        <v>293</v>
      </c>
      <c r="J6" s="41" t="s">
        <v>303</v>
      </c>
      <c r="K6" s="41" t="s">
        <v>304</v>
      </c>
    </row>
    <row r="7" spans="1:11" ht="36" customHeight="1" x14ac:dyDescent="0.2">
      <c r="A7" s="40">
        <v>4</v>
      </c>
      <c r="B7" s="40" t="s">
        <v>305</v>
      </c>
      <c r="C7" s="40" t="s">
        <v>306</v>
      </c>
      <c r="D7" s="40" t="s">
        <v>307</v>
      </c>
      <c r="E7" s="40" t="s">
        <v>308</v>
      </c>
      <c r="F7" s="40" t="s">
        <v>309</v>
      </c>
      <c r="G7" s="40" t="s">
        <v>310</v>
      </c>
      <c r="H7" s="40" t="s">
        <v>311</v>
      </c>
      <c r="I7" s="40" t="s">
        <v>293</v>
      </c>
      <c r="J7" s="40" t="s">
        <v>312</v>
      </c>
      <c r="K7" s="40" t="s">
        <v>313</v>
      </c>
    </row>
    <row r="8" spans="1:11" ht="30" customHeight="1" x14ac:dyDescent="0.2">
      <c r="A8" s="43">
        <v>5</v>
      </c>
      <c r="B8" s="43"/>
      <c r="C8" s="43"/>
      <c r="D8" s="43"/>
      <c r="E8" s="43"/>
      <c r="F8" s="43"/>
      <c r="G8" s="43"/>
      <c r="H8" s="43"/>
      <c r="I8" s="43"/>
      <c r="J8" s="43"/>
      <c r="K8" s="43"/>
    </row>
    <row r="9" spans="1:11" ht="30" customHeight="1" x14ac:dyDescent="0.2">
      <c r="A9" s="42">
        <v>6</v>
      </c>
      <c r="B9" s="42"/>
      <c r="C9" s="42"/>
      <c r="D9" s="42"/>
      <c r="E9" s="42"/>
      <c r="F9" s="42"/>
      <c r="G9" s="42"/>
      <c r="H9" s="42"/>
      <c r="I9" s="42"/>
      <c r="J9" s="42"/>
      <c r="K9" s="42"/>
    </row>
    <row r="10" spans="1:11" ht="30" customHeight="1" x14ac:dyDescent="0.2">
      <c r="A10" s="43">
        <v>7</v>
      </c>
      <c r="B10" s="43"/>
      <c r="C10" s="43"/>
      <c r="D10" s="43"/>
      <c r="E10" s="43"/>
      <c r="F10" s="43"/>
      <c r="G10" s="43"/>
      <c r="H10" s="43"/>
      <c r="I10" s="43"/>
      <c r="J10" s="43"/>
      <c r="K10" s="43"/>
    </row>
    <row r="11" spans="1:11" ht="30" customHeight="1" x14ac:dyDescent="0.2">
      <c r="A11" s="42">
        <v>8</v>
      </c>
      <c r="B11" s="42"/>
      <c r="C11" s="42"/>
      <c r="D11" s="42"/>
      <c r="E11" s="42"/>
      <c r="F11" s="42"/>
      <c r="G11" s="42"/>
      <c r="H11" s="42"/>
      <c r="I11" s="42"/>
      <c r="J11" s="42"/>
      <c r="K11" s="42"/>
    </row>
    <row r="12" spans="1:11" ht="30" customHeight="1" x14ac:dyDescent="0.2">
      <c r="A12" s="43">
        <v>9</v>
      </c>
      <c r="B12" s="43"/>
      <c r="C12" s="43"/>
      <c r="D12" s="43"/>
      <c r="E12" s="43"/>
      <c r="F12" s="43"/>
      <c r="G12" s="43"/>
      <c r="H12" s="43"/>
      <c r="I12" s="43"/>
      <c r="J12" s="43"/>
      <c r="K12" s="43"/>
    </row>
    <row r="13" spans="1:11" ht="30" customHeight="1" x14ac:dyDescent="0.2">
      <c r="A13" s="42">
        <v>10</v>
      </c>
      <c r="B13" s="42"/>
      <c r="C13" s="42"/>
      <c r="D13" s="42"/>
      <c r="E13" s="42"/>
      <c r="F13" s="42"/>
      <c r="G13" s="42"/>
      <c r="H13" s="42"/>
      <c r="I13" s="42"/>
      <c r="J13" s="42"/>
      <c r="K13" s="42"/>
    </row>
    <row r="14" spans="1:11" ht="30" customHeight="1" x14ac:dyDescent="0.2">
      <c r="A14" s="43">
        <v>11</v>
      </c>
      <c r="B14" s="43"/>
      <c r="C14" s="43"/>
      <c r="D14" s="43"/>
      <c r="E14" s="43"/>
      <c r="F14" s="43"/>
      <c r="G14" s="43"/>
      <c r="H14" s="43"/>
      <c r="I14" s="43"/>
      <c r="J14" s="43"/>
      <c r="K14" s="43"/>
    </row>
    <row r="15" spans="1:11" ht="30" customHeight="1" x14ac:dyDescent="0.2">
      <c r="A15" s="42">
        <v>12</v>
      </c>
      <c r="B15" s="42"/>
      <c r="C15" s="42"/>
      <c r="D15" s="42"/>
      <c r="E15" s="42"/>
      <c r="F15" s="42"/>
      <c r="G15" s="42"/>
      <c r="H15" s="42"/>
      <c r="I15" s="42"/>
      <c r="J15" s="42"/>
      <c r="K15" s="42"/>
    </row>
    <row r="16" spans="1:11" ht="30" customHeight="1" x14ac:dyDescent="0.2">
      <c r="A16" s="43">
        <v>13</v>
      </c>
      <c r="B16" s="43"/>
      <c r="C16" s="43"/>
      <c r="D16" s="43"/>
      <c r="E16" s="43"/>
      <c r="F16" s="43"/>
      <c r="G16" s="43"/>
      <c r="H16" s="43"/>
      <c r="I16" s="43"/>
      <c r="J16" s="43"/>
      <c r="K16" s="43"/>
    </row>
    <row r="17" spans="1:11" ht="30" customHeight="1" x14ac:dyDescent="0.2">
      <c r="A17" s="42">
        <v>14</v>
      </c>
      <c r="B17" s="42"/>
      <c r="C17" s="42"/>
      <c r="D17" s="42"/>
      <c r="E17" s="42"/>
      <c r="F17" s="42"/>
      <c r="G17" s="42"/>
      <c r="H17" s="42"/>
      <c r="I17" s="42"/>
      <c r="J17" s="42"/>
      <c r="K17" s="42"/>
    </row>
    <row r="18" spans="1:11" ht="30" customHeight="1" x14ac:dyDescent="0.2">
      <c r="A18" s="43">
        <v>15</v>
      </c>
      <c r="B18" s="43"/>
      <c r="C18" s="43"/>
      <c r="D18" s="43"/>
      <c r="E18" s="43"/>
      <c r="F18" s="43"/>
      <c r="G18" s="43"/>
      <c r="H18" s="43"/>
      <c r="I18" s="43"/>
      <c r="J18" s="43"/>
      <c r="K18" s="43"/>
    </row>
    <row r="19" spans="1:11" ht="30" customHeight="1" x14ac:dyDescent="0.2">
      <c r="A19" s="42">
        <v>16</v>
      </c>
      <c r="B19" s="42"/>
      <c r="C19" s="42"/>
      <c r="D19" s="42"/>
      <c r="E19" s="42"/>
      <c r="F19" s="42"/>
      <c r="G19" s="42"/>
      <c r="H19" s="42"/>
      <c r="I19" s="42"/>
      <c r="J19" s="42"/>
      <c r="K19" s="42"/>
    </row>
    <row r="20" spans="1:11" ht="12" customHeight="1" x14ac:dyDescent="0.2"/>
    <row r="21" spans="1:11" ht="36" customHeight="1" x14ac:dyDescent="0.2">
      <c r="A21" s="85" t="s">
        <v>314</v>
      </c>
      <c r="B21" s="71"/>
      <c r="C21" s="71"/>
      <c r="D21" s="71"/>
      <c r="E21" s="71"/>
      <c r="F21" s="71"/>
      <c r="G21" s="71"/>
      <c r="H21" s="71"/>
      <c r="I21" s="71"/>
      <c r="J21" s="71"/>
      <c r="K21" s="72"/>
    </row>
    <row r="22" spans="1:11" ht="27.75" customHeight="1" x14ac:dyDescent="0.2">
      <c r="A22" s="75" t="s">
        <v>315</v>
      </c>
      <c r="B22" s="71"/>
      <c r="C22" s="71"/>
      <c r="D22" s="71"/>
      <c r="E22" s="71"/>
      <c r="F22" s="71"/>
      <c r="G22" s="71"/>
      <c r="H22" s="71"/>
      <c r="I22" s="71"/>
      <c r="J22" s="71"/>
      <c r="K22" s="72"/>
    </row>
    <row r="23" spans="1:11" ht="15.75" customHeight="1" x14ac:dyDescent="0.2"/>
    <row r="24" spans="1:11" ht="15.75" customHeight="1" x14ac:dyDescent="0.2"/>
    <row r="25" spans="1:11" ht="15.75" customHeight="1" x14ac:dyDescent="0.2"/>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K1"/>
    <mergeCell ref="A2:K2"/>
    <mergeCell ref="A21:K21"/>
    <mergeCell ref="A22:K22"/>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39C12"/>
  </sheetPr>
  <dimension ref="A1:J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5.01953125" customWidth="1"/>
    <col min="3" max="3" width="13.98828125" customWidth="1"/>
    <col min="4" max="5" width="22.05859375" customWidth="1"/>
    <col min="6" max="7" width="18.0234375" customWidth="1"/>
    <col min="8" max="8" width="25.01953125" customWidth="1"/>
    <col min="9" max="9" width="27.98046875" customWidth="1"/>
    <col min="10" max="10" width="29.99609375" customWidth="1"/>
    <col min="11" max="26" width="8.7421875" customWidth="1"/>
  </cols>
  <sheetData>
    <row r="1" spans="1:10" ht="39.75" customHeight="1" x14ac:dyDescent="0.2">
      <c r="A1" s="84" t="s">
        <v>316</v>
      </c>
      <c r="B1" s="64"/>
      <c r="C1" s="64"/>
      <c r="D1" s="64"/>
      <c r="E1" s="64"/>
      <c r="F1" s="64"/>
      <c r="G1" s="64"/>
      <c r="H1" s="64"/>
      <c r="I1" s="64"/>
      <c r="J1" s="65"/>
    </row>
    <row r="2" spans="1:10" ht="27.75" customHeight="1" x14ac:dyDescent="0.2">
      <c r="A2" s="85" t="s">
        <v>317</v>
      </c>
      <c r="B2" s="71"/>
      <c r="C2" s="71"/>
      <c r="D2" s="71"/>
      <c r="E2" s="71"/>
      <c r="F2" s="71"/>
      <c r="G2" s="71"/>
      <c r="H2" s="71"/>
      <c r="I2" s="71"/>
      <c r="J2" s="72"/>
    </row>
    <row r="3" spans="1:10" ht="27.75" customHeight="1" x14ac:dyDescent="0.2">
      <c r="A3" s="39" t="s">
        <v>5</v>
      </c>
      <c r="B3" s="39" t="s">
        <v>318</v>
      </c>
      <c r="C3" s="39" t="s">
        <v>319</v>
      </c>
      <c r="D3" s="39" t="s">
        <v>320</v>
      </c>
      <c r="E3" s="39" t="s">
        <v>321</v>
      </c>
      <c r="F3" s="39" t="s">
        <v>322</v>
      </c>
      <c r="G3" s="39" t="s">
        <v>323</v>
      </c>
      <c r="H3" s="39" t="s">
        <v>324</v>
      </c>
      <c r="I3" s="39" t="s">
        <v>325</v>
      </c>
      <c r="J3" s="39" t="s">
        <v>326</v>
      </c>
    </row>
    <row r="4" spans="1:10" ht="43.5" customHeight="1" x14ac:dyDescent="0.2">
      <c r="A4" s="41">
        <v>1</v>
      </c>
      <c r="B4" s="41"/>
      <c r="C4" s="41"/>
      <c r="D4" s="41"/>
      <c r="E4" s="41"/>
      <c r="F4" s="41"/>
      <c r="G4" s="41"/>
      <c r="H4" s="41"/>
      <c r="I4" s="41"/>
      <c r="J4" s="41"/>
    </row>
    <row r="5" spans="1:10" ht="43.5" customHeight="1" x14ac:dyDescent="0.2">
      <c r="A5" s="40">
        <v>2</v>
      </c>
      <c r="B5" s="40"/>
      <c r="C5" s="40"/>
      <c r="D5" s="40"/>
      <c r="E5" s="40"/>
      <c r="F5" s="40"/>
      <c r="G5" s="40"/>
      <c r="H5" s="40"/>
      <c r="I5" s="40"/>
      <c r="J5" s="40"/>
    </row>
    <row r="6" spans="1:10" ht="43.5" customHeight="1" x14ac:dyDescent="0.2">
      <c r="A6" s="41">
        <v>3</v>
      </c>
      <c r="B6" s="41"/>
      <c r="C6" s="41"/>
      <c r="D6" s="41"/>
      <c r="E6" s="41"/>
      <c r="F6" s="41"/>
      <c r="G6" s="41"/>
      <c r="H6" s="41"/>
      <c r="I6" s="41"/>
      <c r="J6" s="41"/>
    </row>
    <row r="7" spans="1:10" ht="43.5" customHeight="1" x14ac:dyDescent="0.2">
      <c r="A7" s="40">
        <v>4</v>
      </c>
      <c r="B7" s="40"/>
      <c r="C7" s="40"/>
      <c r="D7" s="40"/>
      <c r="E7" s="40"/>
      <c r="F7" s="40"/>
      <c r="G7" s="40"/>
      <c r="H7" s="40"/>
      <c r="I7" s="40"/>
      <c r="J7" s="40"/>
    </row>
    <row r="8" spans="1:10" ht="36" customHeight="1" x14ac:dyDescent="0.2">
      <c r="A8" s="43">
        <v>5</v>
      </c>
      <c r="B8" s="43"/>
      <c r="C8" s="43"/>
      <c r="D8" s="43"/>
      <c r="E8" s="43"/>
      <c r="F8" s="43"/>
      <c r="G8" s="43"/>
      <c r="H8" s="43"/>
      <c r="I8" s="43"/>
      <c r="J8" s="43"/>
    </row>
    <row r="9" spans="1:10" ht="36" customHeight="1" x14ac:dyDescent="0.2">
      <c r="A9" s="42">
        <v>6</v>
      </c>
      <c r="B9" s="42"/>
      <c r="C9" s="42"/>
      <c r="D9" s="42"/>
      <c r="E9" s="42"/>
      <c r="F9" s="42"/>
      <c r="G9" s="42"/>
      <c r="H9" s="42"/>
      <c r="I9" s="42"/>
      <c r="J9" s="42"/>
    </row>
    <row r="10" spans="1:10" ht="36" customHeight="1" x14ac:dyDescent="0.2">
      <c r="A10" s="43">
        <v>7</v>
      </c>
      <c r="B10" s="43"/>
      <c r="C10" s="43"/>
      <c r="D10" s="43"/>
      <c r="E10" s="43"/>
      <c r="F10" s="43"/>
      <c r="G10" s="43"/>
      <c r="H10" s="43"/>
      <c r="I10" s="43"/>
      <c r="J10" s="43"/>
    </row>
    <row r="11" spans="1:10" ht="36" customHeight="1" x14ac:dyDescent="0.2">
      <c r="A11" s="42">
        <v>8</v>
      </c>
      <c r="B11" s="42"/>
      <c r="C11" s="42"/>
      <c r="D11" s="42"/>
      <c r="E11" s="42"/>
      <c r="F11" s="42"/>
      <c r="G11" s="42"/>
      <c r="H11" s="42"/>
      <c r="I11" s="42"/>
      <c r="J11" s="42"/>
    </row>
    <row r="12" spans="1:10" ht="36" customHeight="1" x14ac:dyDescent="0.2">
      <c r="A12" s="43">
        <v>9</v>
      </c>
      <c r="B12" s="43"/>
      <c r="C12" s="43"/>
      <c r="D12" s="43"/>
      <c r="E12" s="43"/>
      <c r="F12" s="43"/>
      <c r="G12" s="43"/>
      <c r="H12" s="43"/>
      <c r="I12" s="43"/>
      <c r="J12" s="43"/>
    </row>
    <row r="13" spans="1:10" ht="36" customHeight="1" x14ac:dyDescent="0.2">
      <c r="A13" s="42">
        <v>10</v>
      </c>
      <c r="B13" s="42"/>
      <c r="C13" s="42"/>
      <c r="D13" s="42"/>
      <c r="E13" s="42"/>
      <c r="F13" s="42"/>
      <c r="G13" s="42"/>
      <c r="H13" s="42"/>
      <c r="I13" s="42"/>
      <c r="J13" s="42"/>
    </row>
    <row r="14" spans="1:10" ht="36" customHeight="1" x14ac:dyDescent="0.2">
      <c r="A14" s="43">
        <v>11</v>
      </c>
      <c r="B14" s="43"/>
      <c r="C14" s="43"/>
      <c r="D14" s="43"/>
      <c r="E14" s="43"/>
      <c r="F14" s="43"/>
      <c r="G14" s="43"/>
      <c r="H14" s="43"/>
      <c r="I14" s="43"/>
      <c r="J14" s="43"/>
    </row>
    <row r="15" spans="1:10" ht="36" customHeight="1" x14ac:dyDescent="0.2">
      <c r="A15" s="42">
        <v>12</v>
      </c>
      <c r="B15" s="42"/>
      <c r="C15" s="42"/>
      <c r="D15" s="42"/>
      <c r="E15" s="42"/>
      <c r="F15" s="42"/>
      <c r="G15" s="42"/>
      <c r="H15" s="42"/>
      <c r="I15" s="42"/>
      <c r="J15" s="42"/>
    </row>
    <row r="16" spans="1:10" ht="12" customHeight="1" x14ac:dyDescent="0.2"/>
    <row r="17" spans="1:10" ht="36" customHeight="1" x14ac:dyDescent="0.2">
      <c r="A17" s="85" t="s">
        <v>327</v>
      </c>
      <c r="B17" s="71"/>
      <c r="C17" s="71"/>
      <c r="D17" s="71"/>
      <c r="E17" s="71"/>
      <c r="F17" s="71"/>
      <c r="G17" s="71"/>
      <c r="H17" s="71"/>
      <c r="I17" s="71"/>
      <c r="J17" s="72"/>
    </row>
    <row r="21" spans="1:10" ht="15.75" customHeight="1" x14ac:dyDescent="0.2"/>
    <row r="22" spans="1:10" ht="15.75" customHeight="1" x14ac:dyDescent="0.2"/>
    <row r="23" spans="1:10" ht="15.75" customHeight="1" x14ac:dyDescent="0.2"/>
    <row r="24" spans="1:10" ht="15.75" customHeight="1" x14ac:dyDescent="0.2"/>
    <row r="25" spans="1:10" ht="15.75" customHeight="1" x14ac:dyDescent="0.2"/>
    <row r="26" spans="1:10" ht="15.75" customHeight="1" x14ac:dyDescent="0.2"/>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J1"/>
    <mergeCell ref="A2:J2"/>
    <mergeCell ref="A17:J17"/>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392B"/>
  </sheetPr>
  <dimension ref="A1:K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2.05859375" customWidth="1"/>
    <col min="3" max="4" width="18.0234375" customWidth="1"/>
    <col min="5" max="5" width="16.0078125" customWidth="1"/>
    <col min="6" max="7" width="13.98828125" customWidth="1"/>
    <col min="8" max="8" width="16.0078125" customWidth="1"/>
    <col min="9" max="9" width="13.98828125" customWidth="1"/>
    <col min="10" max="10" width="22.05859375" customWidth="1"/>
    <col min="11" max="11" width="27.98046875" customWidth="1"/>
    <col min="12" max="26" width="8.7421875" customWidth="1"/>
  </cols>
  <sheetData>
    <row r="1" spans="1:11" ht="39.75" customHeight="1" x14ac:dyDescent="0.2">
      <c r="A1" s="87" t="s">
        <v>328</v>
      </c>
      <c r="B1" s="64"/>
      <c r="C1" s="64"/>
      <c r="D1" s="64"/>
      <c r="E1" s="64"/>
      <c r="F1" s="64"/>
      <c r="G1" s="64"/>
      <c r="H1" s="64"/>
      <c r="I1" s="64"/>
      <c r="J1" s="64"/>
      <c r="K1" s="65"/>
    </row>
    <row r="2" spans="1:11" ht="27.75" customHeight="1" x14ac:dyDescent="0.2">
      <c r="A2" s="85" t="s">
        <v>329</v>
      </c>
      <c r="B2" s="71"/>
      <c r="C2" s="71"/>
      <c r="D2" s="71"/>
      <c r="E2" s="71"/>
      <c r="F2" s="71"/>
      <c r="G2" s="71"/>
      <c r="H2" s="71"/>
      <c r="I2" s="71"/>
      <c r="J2" s="71"/>
      <c r="K2" s="72"/>
    </row>
    <row r="3" spans="1:11" ht="27.75" customHeight="1" x14ac:dyDescent="0.2">
      <c r="A3" s="4" t="s">
        <v>5</v>
      </c>
      <c r="B3" s="4" t="s">
        <v>330</v>
      </c>
      <c r="C3" s="4" t="s">
        <v>331</v>
      </c>
      <c r="D3" s="4" t="s">
        <v>332</v>
      </c>
      <c r="E3" s="4" t="s">
        <v>333</v>
      </c>
      <c r="F3" s="4" t="s">
        <v>334</v>
      </c>
      <c r="G3" s="4" t="s">
        <v>335</v>
      </c>
      <c r="H3" s="4" t="s">
        <v>336</v>
      </c>
      <c r="I3" s="4" t="s">
        <v>337</v>
      </c>
      <c r="J3" s="4" t="s">
        <v>338</v>
      </c>
      <c r="K3" s="4" t="s">
        <v>339</v>
      </c>
    </row>
    <row r="4" spans="1:11" ht="36" customHeight="1" x14ac:dyDescent="0.2">
      <c r="A4" s="41">
        <v>1</v>
      </c>
      <c r="B4" s="41"/>
      <c r="C4" s="41"/>
      <c r="D4" s="41"/>
      <c r="E4" s="41"/>
      <c r="F4" s="41"/>
      <c r="G4" s="41"/>
      <c r="H4" s="41"/>
      <c r="I4" s="41"/>
      <c r="J4" s="41"/>
      <c r="K4" s="41"/>
    </row>
    <row r="5" spans="1:11" ht="36" customHeight="1" x14ac:dyDescent="0.2">
      <c r="A5" s="40">
        <v>2</v>
      </c>
      <c r="B5" s="40"/>
      <c r="C5" s="40"/>
      <c r="D5" s="40"/>
      <c r="E5" s="40"/>
      <c r="F5" s="40"/>
      <c r="G5" s="40"/>
      <c r="H5" s="40"/>
      <c r="I5" s="40"/>
      <c r="J5" s="40"/>
      <c r="K5" s="40"/>
    </row>
    <row r="6" spans="1:11" ht="36" customHeight="1" x14ac:dyDescent="0.2">
      <c r="A6" s="41">
        <v>3</v>
      </c>
      <c r="B6" s="41"/>
      <c r="C6" s="41"/>
      <c r="D6" s="41"/>
      <c r="E6" s="41"/>
      <c r="F6" s="41"/>
      <c r="G6" s="41"/>
      <c r="H6" s="41"/>
      <c r="I6" s="41"/>
      <c r="J6" s="41"/>
      <c r="K6" s="41"/>
    </row>
    <row r="7" spans="1:11" ht="36" customHeight="1" x14ac:dyDescent="0.2">
      <c r="A7" s="40">
        <v>4</v>
      </c>
      <c r="B7" s="40"/>
      <c r="C7" s="40"/>
      <c r="D7" s="40"/>
      <c r="E7" s="40"/>
      <c r="F7" s="40"/>
      <c r="G7" s="40"/>
      <c r="H7" s="40"/>
      <c r="I7" s="40"/>
      <c r="J7" s="40"/>
      <c r="K7" s="40"/>
    </row>
    <row r="8" spans="1:11" ht="27.75" customHeight="1" x14ac:dyDescent="0.2">
      <c r="A8" s="43">
        <v>5</v>
      </c>
      <c r="B8" s="43"/>
      <c r="C8" s="43"/>
      <c r="D8" s="43"/>
      <c r="E8" s="43"/>
      <c r="F8" s="43"/>
      <c r="G8" s="43"/>
      <c r="H8" s="43"/>
      <c r="I8" s="43"/>
      <c r="J8" s="43"/>
      <c r="K8" s="43"/>
    </row>
    <row r="9" spans="1:11" ht="27.75" customHeight="1" x14ac:dyDescent="0.2">
      <c r="A9" s="42">
        <v>6</v>
      </c>
      <c r="B9" s="42"/>
      <c r="C9" s="42"/>
      <c r="D9" s="42"/>
      <c r="E9" s="42"/>
      <c r="F9" s="42"/>
      <c r="G9" s="42"/>
      <c r="H9" s="42"/>
      <c r="I9" s="42"/>
      <c r="J9" s="42"/>
      <c r="K9" s="42"/>
    </row>
    <row r="10" spans="1:11" ht="27.75" customHeight="1" x14ac:dyDescent="0.2">
      <c r="A10" s="43">
        <v>7</v>
      </c>
      <c r="B10" s="43"/>
      <c r="C10" s="43"/>
      <c r="D10" s="43"/>
      <c r="E10" s="43"/>
      <c r="F10" s="43"/>
      <c r="G10" s="43"/>
      <c r="H10" s="43"/>
      <c r="I10" s="43"/>
      <c r="J10" s="43"/>
      <c r="K10" s="43"/>
    </row>
    <row r="11" spans="1:11" ht="27.75" customHeight="1" x14ac:dyDescent="0.2">
      <c r="A11" s="42">
        <v>8</v>
      </c>
      <c r="B11" s="42"/>
      <c r="C11" s="42"/>
      <c r="D11" s="42"/>
      <c r="E11" s="42"/>
      <c r="F11" s="42"/>
      <c r="G11" s="42"/>
      <c r="H11" s="42"/>
      <c r="I11" s="42"/>
      <c r="J11" s="42"/>
      <c r="K11" s="42"/>
    </row>
    <row r="12" spans="1:11" ht="27.75" customHeight="1" x14ac:dyDescent="0.2">
      <c r="A12" s="43">
        <v>9</v>
      </c>
      <c r="B12" s="43"/>
      <c r="C12" s="43"/>
      <c r="D12" s="43"/>
      <c r="E12" s="43"/>
      <c r="F12" s="43"/>
      <c r="G12" s="43"/>
      <c r="H12" s="43"/>
      <c r="I12" s="43"/>
      <c r="J12" s="43"/>
      <c r="K12" s="43"/>
    </row>
    <row r="13" spans="1:11" ht="27.75" customHeight="1" x14ac:dyDescent="0.2">
      <c r="A13" s="42">
        <v>10</v>
      </c>
      <c r="B13" s="42"/>
      <c r="C13" s="42"/>
      <c r="D13" s="42"/>
      <c r="E13" s="42"/>
      <c r="F13" s="42"/>
      <c r="G13" s="42"/>
      <c r="H13" s="42"/>
      <c r="I13" s="42"/>
      <c r="J13" s="42"/>
      <c r="K13" s="42"/>
    </row>
    <row r="14" spans="1:11" ht="27.75" customHeight="1" x14ac:dyDescent="0.2">
      <c r="A14" s="43">
        <v>11</v>
      </c>
      <c r="B14" s="43"/>
      <c r="C14" s="43"/>
      <c r="D14" s="43"/>
      <c r="E14" s="43"/>
      <c r="F14" s="43"/>
      <c r="G14" s="43"/>
      <c r="H14" s="43"/>
      <c r="I14" s="43"/>
      <c r="J14" s="43"/>
      <c r="K14" s="43"/>
    </row>
    <row r="15" spans="1:11" ht="27.75" customHeight="1" x14ac:dyDescent="0.2">
      <c r="A15" s="42">
        <v>12</v>
      </c>
      <c r="B15" s="42"/>
      <c r="C15" s="42"/>
      <c r="D15" s="42"/>
      <c r="E15" s="42"/>
      <c r="F15" s="42"/>
      <c r="G15" s="42"/>
      <c r="H15" s="42"/>
      <c r="I15" s="42"/>
      <c r="J15" s="42"/>
      <c r="K15" s="42"/>
    </row>
    <row r="16" spans="1:11" ht="27.75" customHeight="1" x14ac:dyDescent="0.2">
      <c r="A16" s="43">
        <v>13</v>
      </c>
      <c r="B16" s="43"/>
      <c r="C16" s="43"/>
      <c r="D16" s="43"/>
      <c r="E16" s="43"/>
      <c r="F16" s="43"/>
      <c r="G16" s="43"/>
      <c r="H16" s="43"/>
      <c r="I16" s="43"/>
      <c r="J16" s="43"/>
      <c r="K16" s="43"/>
    </row>
    <row r="17" spans="1:11" ht="27.75" customHeight="1" x14ac:dyDescent="0.2">
      <c r="A17" s="42">
        <v>14</v>
      </c>
      <c r="B17" s="42"/>
      <c r="C17" s="42"/>
      <c r="D17" s="42"/>
      <c r="E17" s="42"/>
      <c r="F17" s="42"/>
      <c r="G17" s="42"/>
      <c r="H17" s="42"/>
      <c r="I17" s="42"/>
      <c r="J17" s="42"/>
      <c r="K17" s="42"/>
    </row>
    <row r="18" spans="1:11" ht="12" customHeight="1" x14ac:dyDescent="0.2"/>
    <row r="19" spans="1:11" ht="27.75" customHeight="1" x14ac:dyDescent="0.2">
      <c r="A19" s="83" t="s">
        <v>340</v>
      </c>
      <c r="B19" s="71"/>
      <c r="C19" s="71"/>
      <c r="D19" s="71"/>
      <c r="E19" s="71"/>
      <c r="F19" s="71"/>
      <c r="G19" s="71"/>
      <c r="H19" s="71"/>
      <c r="I19" s="71"/>
      <c r="J19" s="71"/>
      <c r="K19" s="72"/>
    </row>
    <row r="21" spans="1:11" ht="15.75" customHeight="1" x14ac:dyDescent="0.2"/>
    <row r="22" spans="1:11" ht="15.75" customHeight="1" x14ac:dyDescent="0.2"/>
    <row r="23" spans="1:11" ht="15.75" customHeight="1" x14ac:dyDescent="0.2"/>
    <row r="24" spans="1:11" ht="15.75" customHeight="1" x14ac:dyDescent="0.2"/>
    <row r="25" spans="1:11" ht="15.75" customHeight="1" x14ac:dyDescent="0.2"/>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K1"/>
    <mergeCell ref="A2:K2"/>
    <mergeCell ref="A19:K19"/>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C3483"/>
  </sheetPr>
  <dimension ref="A1:J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0.04296875" customWidth="1"/>
    <col min="3" max="3" width="22.05859375" customWidth="1"/>
    <col min="4" max="4" width="18.0234375" customWidth="1"/>
    <col min="5" max="5" width="16.0078125" customWidth="1"/>
    <col min="6" max="6" width="13.98828125" customWidth="1"/>
    <col min="7" max="7" width="16.0078125" customWidth="1"/>
    <col min="8" max="8" width="18.0234375" customWidth="1"/>
    <col min="9" max="9" width="13.98828125" customWidth="1"/>
    <col min="10" max="10" width="27.98046875" customWidth="1"/>
    <col min="11" max="26" width="8.7421875" customWidth="1"/>
  </cols>
  <sheetData>
    <row r="1" spans="1:10" ht="39.75" customHeight="1" x14ac:dyDescent="0.2">
      <c r="A1" s="88" t="s">
        <v>341</v>
      </c>
      <c r="B1" s="64"/>
      <c r="C1" s="64"/>
      <c r="D1" s="64"/>
      <c r="E1" s="64"/>
      <c r="F1" s="64"/>
      <c r="G1" s="64"/>
      <c r="H1" s="64"/>
      <c r="I1" s="64"/>
      <c r="J1" s="65"/>
    </row>
    <row r="2" spans="1:10" ht="27.75" customHeight="1" x14ac:dyDescent="0.2">
      <c r="A2" s="85" t="s">
        <v>342</v>
      </c>
      <c r="B2" s="71"/>
      <c r="C2" s="71"/>
      <c r="D2" s="71"/>
      <c r="E2" s="71"/>
      <c r="F2" s="71"/>
      <c r="G2" s="71"/>
      <c r="H2" s="71"/>
      <c r="I2" s="71"/>
      <c r="J2" s="72"/>
    </row>
    <row r="3" spans="1:10" ht="27.75" customHeight="1" x14ac:dyDescent="0.2">
      <c r="A3" s="45" t="s">
        <v>5</v>
      </c>
      <c r="B3" s="45" t="s">
        <v>343</v>
      </c>
      <c r="C3" s="45" t="s">
        <v>344</v>
      </c>
      <c r="D3" s="45" t="s">
        <v>345</v>
      </c>
      <c r="E3" s="45" t="s">
        <v>346</v>
      </c>
      <c r="F3" s="45" t="s">
        <v>347</v>
      </c>
      <c r="G3" s="45" t="s">
        <v>348</v>
      </c>
      <c r="H3" s="45" t="s">
        <v>181</v>
      </c>
      <c r="I3" s="45" t="s">
        <v>349</v>
      </c>
      <c r="J3" s="45" t="s">
        <v>350</v>
      </c>
    </row>
    <row r="4" spans="1:10" ht="39.75" customHeight="1" x14ac:dyDescent="0.2">
      <c r="A4" s="41">
        <v>1</v>
      </c>
      <c r="B4" s="41"/>
      <c r="C4" s="41"/>
      <c r="D4" s="41"/>
      <c r="E4" s="41"/>
      <c r="F4" s="41"/>
      <c r="G4" s="41"/>
      <c r="H4" s="41"/>
      <c r="I4" s="41"/>
      <c r="J4" s="41"/>
    </row>
    <row r="5" spans="1:10" ht="39.75" customHeight="1" x14ac:dyDescent="0.2">
      <c r="A5" s="40">
        <v>2</v>
      </c>
      <c r="B5" s="40"/>
      <c r="C5" s="40"/>
      <c r="D5" s="40"/>
      <c r="E5" s="40"/>
      <c r="F5" s="40"/>
      <c r="G5" s="40"/>
      <c r="H5" s="40"/>
      <c r="I5" s="40"/>
      <c r="J5" s="40"/>
    </row>
    <row r="6" spans="1:10" ht="39.75" customHeight="1" x14ac:dyDescent="0.2">
      <c r="A6" s="41">
        <v>3</v>
      </c>
      <c r="B6" s="41"/>
      <c r="C6" s="41"/>
      <c r="D6" s="41"/>
      <c r="E6" s="41"/>
      <c r="F6" s="41"/>
      <c r="G6" s="41"/>
      <c r="H6" s="41"/>
      <c r="I6" s="41"/>
      <c r="J6" s="41"/>
    </row>
    <row r="7" spans="1:10" ht="39.75" customHeight="1" x14ac:dyDescent="0.2">
      <c r="A7" s="40">
        <v>4</v>
      </c>
      <c r="B7" s="40"/>
      <c r="C7" s="40"/>
      <c r="D7" s="40"/>
      <c r="E7" s="40"/>
      <c r="F7" s="40"/>
      <c r="G7" s="40"/>
      <c r="H7" s="40"/>
      <c r="I7" s="40"/>
      <c r="J7" s="40"/>
    </row>
    <row r="8" spans="1:10" ht="39.75" customHeight="1" x14ac:dyDescent="0.2">
      <c r="A8" s="41">
        <v>5</v>
      </c>
      <c r="B8" s="41"/>
      <c r="C8" s="41"/>
      <c r="D8" s="41"/>
      <c r="E8" s="41"/>
      <c r="F8" s="41"/>
      <c r="G8" s="41"/>
      <c r="H8" s="41"/>
      <c r="I8" s="41"/>
      <c r="J8" s="41"/>
    </row>
    <row r="9" spans="1:10" ht="39.75" customHeight="1" x14ac:dyDescent="0.2">
      <c r="A9" s="40">
        <v>6</v>
      </c>
      <c r="B9" s="40"/>
      <c r="C9" s="40"/>
      <c r="D9" s="40"/>
      <c r="E9" s="40"/>
      <c r="F9" s="40"/>
      <c r="G9" s="40"/>
      <c r="H9" s="40"/>
      <c r="I9" s="40"/>
      <c r="J9" s="40"/>
    </row>
    <row r="10" spans="1:10" ht="12" customHeight="1" x14ac:dyDescent="0.2"/>
    <row r="11" spans="1:10" ht="27.75" customHeight="1" x14ac:dyDescent="0.2">
      <c r="A11" s="83" t="s">
        <v>351</v>
      </c>
      <c r="B11" s="71"/>
      <c r="C11" s="71"/>
      <c r="D11" s="71"/>
      <c r="E11" s="71"/>
      <c r="F11" s="71"/>
      <c r="G11" s="71"/>
      <c r="H11" s="71"/>
      <c r="I11" s="71"/>
      <c r="J11" s="7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J1"/>
    <mergeCell ref="A2:J2"/>
    <mergeCell ref="A11:J11"/>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9A84C"/>
  </sheetPr>
  <dimension ref="A1:G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9765625" customWidth="1"/>
    <col min="2" max="2" width="25.01953125" customWidth="1"/>
    <col min="3" max="4" width="18.0234375" customWidth="1"/>
    <col min="5" max="5" width="20.04296875" customWidth="1"/>
    <col min="6" max="7" width="22.05859375" customWidth="1"/>
    <col min="8" max="26" width="8.7421875" customWidth="1"/>
  </cols>
  <sheetData>
    <row r="1" spans="1:7" ht="39.75" customHeight="1" x14ac:dyDescent="0.2">
      <c r="A1" s="84" t="s">
        <v>352</v>
      </c>
      <c r="B1" s="64"/>
      <c r="C1" s="64"/>
      <c r="D1" s="64"/>
      <c r="E1" s="64"/>
      <c r="F1" s="64"/>
      <c r="G1" s="65"/>
    </row>
    <row r="2" spans="1:7" ht="27.75" customHeight="1" x14ac:dyDescent="0.2">
      <c r="A2" s="83" t="s">
        <v>353</v>
      </c>
      <c r="B2" s="71"/>
      <c r="C2" s="71"/>
      <c r="D2" s="71"/>
      <c r="E2" s="71"/>
      <c r="F2" s="71"/>
      <c r="G2" s="72"/>
    </row>
    <row r="3" spans="1:7" ht="27.75" customHeight="1" x14ac:dyDescent="0.2">
      <c r="A3" s="39" t="s">
        <v>5</v>
      </c>
      <c r="B3" s="39" t="s">
        <v>354</v>
      </c>
      <c r="C3" s="39" t="s">
        <v>355</v>
      </c>
      <c r="D3" s="39" t="s">
        <v>356</v>
      </c>
      <c r="E3" s="39" t="s">
        <v>357</v>
      </c>
      <c r="F3" s="39" t="s">
        <v>358</v>
      </c>
      <c r="G3" s="39" t="s">
        <v>359</v>
      </c>
    </row>
    <row r="4" spans="1:7" ht="30" customHeight="1" x14ac:dyDescent="0.2">
      <c r="A4" s="41">
        <v>1</v>
      </c>
      <c r="B4" s="41"/>
      <c r="C4" s="41"/>
      <c r="D4" s="41"/>
      <c r="E4" s="41"/>
      <c r="F4" s="41"/>
      <c r="G4" s="41"/>
    </row>
    <row r="5" spans="1:7" ht="30" customHeight="1" x14ac:dyDescent="0.2">
      <c r="A5" s="40">
        <v>2</v>
      </c>
      <c r="B5" s="40"/>
      <c r="C5" s="40"/>
      <c r="D5" s="40"/>
      <c r="E5" s="40"/>
      <c r="F5" s="40"/>
      <c r="G5" s="40"/>
    </row>
    <row r="6" spans="1:7" ht="30" customHeight="1" x14ac:dyDescent="0.2">
      <c r="A6" s="41">
        <v>3</v>
      </c>
      <c r="B6" s="41"/>
      <c r="C6" s="41"/>
      <c r="D6" s="41"/>
      <c r="E6" s="41"/>
      <c r="F6" s="41"/>
      <c r="G6" s="41"/>
    </row>
    <row r="7" spans="1:7" ht="30" customHeight="1" x14ac:dyDescent="0.2">
      <c r="A7" s="40">
        <v>4</v>
      </c>
      <c r="B7" s="40"/>
      <c r="C7" s="40"/>
      <c r="D7" s="40"/>
      <c r="E7" s="40"/>
      <c r="F7" s="40"/>
      <c r="G7" s="40"/>
    </row>
    <row r="8" spans="1:7" ht="30" customHeight="1" x14ac:dyDescent="0.2">
      <c r="A8" s="41">
        <v>5</v>
      </c>
      <c r="B8" s="41"/>
      <c r="C8" s="41"/>
      <c r="D8" s="41"/>
      <c r="E8" s="41"/>
      <c r="F8" s="41"/>
      <c r="G8" s="41"/>
    </row>
    <row r="9" spans="1:7" ht="12" customHeight="1" x14ac:dyDescent="0.2"/>
    <row r="10" spans="1:7" ht="25.5" customHeight="1" x14ac:dyDescent="0.2">
      <c r="A10" s="70" t="s">
        <v>360</v>
      </c>
      <c r="B10" s="71"/>
      <c r="C10" s="71"/>
      <c r="D10" s="71"/>
      <c r="E10" s="71"/>
      <c r="F10" s="71"/>
      <c r="G10" s="72"/>
    </row>
    <row r="11" spans="1:7" ht="25.5" customHeight="1" x14ac:dyDescent="0.2">
      <c r="A11" s="46" t="s">
        <v>361</v>
      </c>
      <c r="B11" s="12">
        <v>0</v>
      </c>
      <c r="C11" s="89" t="s">
        <v>362</v>
      </c>
      <c r="D11" s="77"/>
      <c r="E11" s="77"/>
      <c r="F11" s="77"/>
      <c r="G11" s="78"/>
    </row>
    <row r="12" spans="1:7" ht="25.5" customHeight="1" x14ac:dyDescent="0.2">
      <c r="A12" s="47" t="s">
        <v>363</v>
      </c>
      <c r="B12" s="9">
        <f>B11*6</f>
        <v>0</v>
      </c>
      <c r="C12" s="90"/>
      <c r="D12" s="77"/>
      <c r="E12" s="77"/>
      <c r="F12" s="77"/>
      <c r="G12" s="78"/>
    </row>
    <row r="13" spans="1:7" ht="25.5" customHeight="1" x14ac:dyDescent="0.2">
      <c r="A13" s="46" t="s">
        <v>364</v>
      </c>
      <c r="B13" s="12">
        <v>0</v>
      </c>
      <c r="C13" s="89" t="s">
        <v>365</v>
      </c>
      <c r="D13" s="77"/>
      <c r="E13" s="77"/>
      <c r="F13" s="77"/>
      <c r="G13" s="78"/>
    </row>
    <row r="14" spans="1:7" ht="25.5" customHeight="1" x14ac:dyDescent="0.2">
      <c r="A14" s="47" t="s">
        <v>366</v>
      </c>
      <c r="B14" s="9">
        <f>IFERROR(B13-B12,0)</f>
        <v>0</v>
      </c>
      <c r="C14" s="90" t="s">
        <v>367</v>
      </c>
      <c r="D14" s="77"/>
      <c r="E14" s="77"/>
      <c r="F14" s="77"/>
      <c r="G14" s="78"/>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C13:G13"/>
    <mergeCell ref="C14:G14"/>
    <mergeCell ref="A1:G1"/>
    <mergeCell ref="A2:G2"/>
    <mergeCell ref="A10:G10"/>
    <mergeCell ref="C11:G11"/>
    <mergeCell ref="C12:G12"/>
  </mergeCell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A84C"/>
  </sheetPr>
  <dimension ref="A1:H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2.05859375" customWidth="1"/>
    <col min="3" max="3" width="20.04296875" customWidth="1"/>
    <col min="4" max="4" width="18.0234375" customWidth="1"/>
    <col min="5" max="5" width="20.04296875" customWidth="1"/>
    <col min="6" max="7" width="18.0234375" customWidth="1"/>
    <col min="8" max="8" width="27.98046875" customWidth="1"/>
    <col min="9" max="26" width="8.7421875" customWidth="1"/>
  </cols>
  <sheetData>
    <row r="1" spans="1:8" ht="39.75" customHeight="1" x14ac:dyDescent="0.2">
      <c r="A1" s="84" t="s">
        <v>368</v>
      </c>
      <c r="B1" s="64"/>
      <c r="C1" s="64"/>
      <c r="D1" s="64"/>
      <c r="E1" s="64"/>
      <c r="F1" s="64"/>
      <c r="G1" s="64"/>
      <c r="H1" s="65"/>
    </row>
    <row r="2" spans="1:8" ht="27.75" customHeight="1" x14ac:dyDescent="0.2">
      <c r="A2" s="85" t="s">
        <v>369</v>
      </c>
      <c r="B2" s="71"/>
      <c r="C2" s="71"/>
      <c r="D2" s="71"/>
      <c r="E2" s="71"/>
      <c r="F2" s="71"/>
      <c r="G2" s="71"/>
      <c r="H2" s="72"/>
    </row>
    <row r="3" spans="1:8" ht="27.75" customHeight="1" x14ac:dyDescent="0.2">
      <c r="A3" s="39" t="s">
        <v>5</v>
      </c>
      <c r="B3" s="39" t="s">
        <v>370</v>
      </c>
      <c r="C3" s="39" t="s">
        <v>268</v>
      </c>
      <c r="D3" s="39" t="s">
        <v>371</v>
      </c>
      <c r="E3" s="39" t="s">
        <v>372</v>
      </c>
      <c r="F3" s="39" t="s">
        <v>373</v>
      </c>
      <c r="G3" s="39" t="s">
        <v>358</v>
      </c>
      <c r="H3" s="39" t="s">
        <v>374</v>
      </c>
    </row>
    <row r="4" spans="1:8" ht="43.5" customHeight="1" x14ac:dyDescent="0.2">
      <c r="A4" s="41">
        <v>1</v>
      </c>
      <c r="B4" s="41"/>
      <c r="C4" s="41"/>
      <c r="D4" s="41"/>
      <c r="E4" s="41"/>
      <c r="F4" s="41"/>
      <c r="G4" s="41"/>
      <c r="H4" s="41"/>
    </row>
    <row r="5" spans="1:8" ht="43.5" customHeight="1" x14ac:dyDescent="0.2">
      <c r="A5" s="40">
        <v>2</v>
      </c>
      <c r="B5" s="40"/>
      <c r="C5" s="40"/>
      <c r="D5" s="40"/>
      <c r="E5" s="40"/>
      <c r="F5" s="40"/>
      <c r="G5" s="40"/>
      <c r="H5" s="40"/>
    </row>
    <row r="6" spans="1:8" ht="43.5" customHeight="1" x14ac:dyDescent="0.2">
      <c r="A6" s="41">
        <v>3</v>
      </c>
      <c r="B6" s="41"/>
      <c r="C6" s="41"/>
      <c r="D6" s="41"/>
      <c r="E6" s="41"/>
      <c r="F6" s="41"/>
      <c r="G6" s="41"/>
      <c r="H6" s="41"/>
    </row>
    <row r="7" spans="1:8" ht="43.5" customHeight="1" x14ac:dyDescent="0.2">
      <c r="A7" s="40">
        <v>4</v>
      </c>
      <c r="B7" s="40"/>
      <c r="C7" s="40"/>
      <c r="D7" s="40"/>
      <c r="E7" s="40"/>
      <c r="F7" s="40"/>
      <c r="G7" s="40"/>
      <c r="H7" s="40"/>
    </row>
    <row r="8" spans="1:8" ht="43.5" customHeight="1" x14ac:dyDescent="0.2">
      <c r="A8" s="41">
        <v>5</v>
      </c>
      <c r="B8" s="41"/>
      <c r="C8" s="41"/>
      <c r="D8" s="41"/>
      <c r="E8" s="41"/>
      <c r="F8" s="41"/>
      <c r="G8" s="41"/>
      <c r="H8" s="41"/>
    </row>
    <row r="9" spans="1:8" ht="43.5" customHeight="1" x14ac:dyDescent="0.2">
      <c r="A9" s="40">
        <v>6</v>
      </c>
      <c r="B9" s="40"/>
      <c r="C9" s="40"/>
      <c r="D9" s="40"/>
      <c r="E9" s="40"/>
      <c r="F9" s="40"/>
      <c r="G9" s="40"/>
      <c r="H9" s="40"/>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H1"/>
    <mergeCell ref="A2:H2"/>
  </mergeCells>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A5276"/>
  </sheetPr>
  <dimension ref="A1:G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0.04296875" customWidth="1"/>
    <col min="3" max="3" width="25.01953125" customWidth="1"/>
    <col min="4" max="5" width="22.05859375" customWidth="1"/>
    <col min="6" max="6" width="18.0234375" customWidth="1"/>
    <col min="7" max="7" width="22.05859375" customWidth="1"/>
    <col min="8" max="26" width="8.7421875" customWidth="1"/>
  </cols>
  <sheetData>
    <row r="1" spans="1:7" ht="39.75" customHeight="1" x14ac:dyDescent="0.2">
      <c r="A1" s="84" t="s">
        <v>375</v>
      </c>
      <c r="B1" s="64"/>
      <c r="C1" s="64"/>
      <c r="D1" s="64"/>
      <c r="E1" s="64"/>
      <c r="F1" s="64"/>
      <c r="G1" s="65"/>
    </row>
    <row r="2" spans="1:7" ht="27.75" customHeight="1" x14ac:dyDescent="0.2">
      <c r="A2" s="85" t="s">
        <v>376</v>
      </c>
      <c r="B2" s="71"/>
      <c r="C2" s="71"/>
      <c r="D2" s="71"/>
      <c r="E2" s="71"/>
      <c r="F2" s="71"/>
      <c r="G2" s="72"/>
    </row>
    <row r="3" spans="1:7" ht="25.5" customHeight="1" x14ac:dyDescent="0.2">
      <c r="A3" s="70" t="s">
        <v>377</v>
      </c>
      <c r="B3" s="71"/>
      <c r="C3" s="71"/>
      <c r="D3" s="71"/>
      <c r="E3" s="71"/>
      <c r="F3" s="71"/>
      <c r="G3" s="72"/>
    </row>
    <row r="4" spans="1:7" ht="24" customHeight="1" x14ac:dyDescent="0.2">
      <c r="A4" s="44" t="s">
        <v>5</v>
      </c>
      <c r="B4" s="44" t="s">
        <v>378</v>
      </c>
      <c r="C4" s="44" t="s">
        <v>379</v>
      </c>
      <c r="D4" s="44" t="s">
        <v>380</v>
      </c>
      <c r="E4" s="44" t="s">
        <v>381</v>
      </c>
      <c r="F4" s="44" t="s">
        <v>382</v>
      </c>
      <c r="G4" s="44" t="s">
        <v>383</v>
      </c>
    </row>
    <row r="5" spans="1:7" ht="27.75" customHeight="1" x14ac:dyDescent="0.2">
      <c r="A5" s="40">
        <v>1</v>
      </c>
      <c r="B5" s="40"/>
      <c r="C5" s="40"/>
      <c r="D5" s="40"/>
      <c r="E5" s="40"/>
      <c r="F5" s="40"/>
    </row>
    <row r="6" spans="1:7" ht="27.75" customHeight="1" x14ac:dyDescent="0.2">
      <c r="A6" s="41">
        <v>2</v>
      </c>
      <c r="B6" s="41"/>
      <c r="C6" s="41"/>
      <c r="D6" s="41"/>
      <c r="E6" s="41"/>
      <c r="F6" s="41"/>
    </row>
    <row r="7" spans="1:7" ht="7.5" customHeight="1" x14ac:dyDescent="0.2">
      <c r="A7" s="42"/>
      <c r="B7" s="42"/>
      <c r="C7" s="42"/>
      <c r="D7" s="42"/>
      <c r="E7" s="42"/>
      <c r="F7" s="42"/>
      <c r="G7" s="42"/>
    </row>
    <row r="8" spans="1:7" ht="25.5" customHeight="1" x14ac:dyDescent="0.2">
      <c r="A8" s="70" t="s">
        <v>384</v>
      </c>
      <c r="B8" s="71"/>
      <c r="C8" s="71"/>
      <c r="D8" s="71"/>
      <c r="E8" s="71"/>
      <c r="F8" s="71"/>
      <c r="G8" s="72"/>
    </row>
    <row r="9" spans="1:7" ht="24" customHeight="1" x14ac:dyDescent="0.2">
      <c r="A9" s="44" t="s">
        <v>5</v>
      </c>
      <c r="B9" s="44" t="s">
        <v>378</v>
      </c>
      <c r="C9" s="44" t="s">
        <v>379</v>
      </c>
      <c r="D9" s="44" t="s">
        <v>380</v>
      </c>
      <c r="E9" s="44" t="s">
        <v>381</v>
      </c>
      <c r="F9" s="44" t="s">
        <v>382</v>
      </c>
      <c r="G9" s="44" t="s">
        <v>383</v>
      </c>
    </row>
    <row r="10" spans="1:7" ht="27.75" customHeight="1" x14ac:dyDescent="0.2">
      <c r="A10" s="41">
        <v>3</v>
      </c>
      <c r="B10" s="41"/>
      <c r="C10" s="41"/>
      <c r="D10" s="41"/>
      <c r="E10" s="41"/>
      <c r="F10" s="41"/>
    </row>
    <row r="11" spans="1:7" ht="27.75" customHeight="1" x14ac:dyDescent="0.2">
      <c r="A11" s="40">
        <v>4</v>
      </c>
      <c r="B11" s="40"/>
      <c r="C11" s="40"/>
      <c r="D11" s="40"/>
      <c r="E11" s="40"/>
      <c r="F11" s="40"/>
    </row>
    <row r="12" spans="1:7" ht="7.5" customHeight="1" x14ac:dyDescent="0.2">
      <c r="A12" s="42"/>
      <c r="B12" s="42"/>
      <c r="C12" s="42"/>
      <c r="D12" s="42"/>
      <c r="E12" s="42"/>
      <c r="F12" s="42"/>
      <c r="G12" s="42"/>
    </row>
    <row r="13" spans="1:7" ht="25.5" customHeight="1" x14ac:dyDescent="0.2">
      <c r="A13" s="70" t="s">
        <v>385</v>
      </c>
      <c r="B13" s="71"/>
      <c r="C13" s="71"/>
      <c r="D13" s="71"/>
      <c r="E13" s="71"/>
      <c r="F13" s="71"/>
      <c r="G13" s="72"/>
    </row>
    <row r="14" spans="1:7" ht="24" customHeight="1" x14ac:dyDescent="0.2">
      <c r="A14" s="44" t="s">
        <v>5</v>
      </c>
      <c r="B14" s="44" t="s">
        <v>378</v>
      </c>
      <c r="C14" s="44" t="s">
        <v>379</v>
      </c>
      <c r="D14" s="44" t="s">
        <v>380</v>
      </c>
      <c r="E14" s="44" t="s">
        <v>381</v>
      </c>
      <c r="F14" s="44" t="s">
        <v>382</v>
      </c>
      <c r="G14" s="44" t="s">
        <v>383</v>
      </c>
    </row>
    <row r="15" spans="1:7" ht="27.75" customHeight="1" x14ac:dyDescent="0.2">
      <c r="A15" s="40">
        <v>5</v>
      </c>
      <c r="B15" s="40"/>
      <c r="C15" s="40"/>
      <c r="D15" s="40"/>
      <c r="E15" s="40"/>
      <c r="F15" s="40"/>
    </row>
    <row r="16" spans="1:7" ht="27.75" customHeight="1" x14ac:dyDescent="0.2">
      <c r="A16" s="41">
        <v>6</v>
      </c>
      <c r="B16" s="41"/>
      <c r="C16" s="41"/>
      <c r="D16" s="41"/>
      <c r="E16" s="41"/>
      <c r="F16" s="41"/>
    </row>
    <row r="17" spans="1:7" ht="7.5" customHeight="1" x14ac:dyDescent="0.2">
      <c r="A17" s="42"/>
      <c r="B17" s="42"/>
      <c r="C17" s="42"/>
      <c r="D17" s="42"/>
      <c r="E17" s="42"/>
      <c r="F17" s="42"/>
      <c r="G17" s="42"/>
    </row>
    <row r="18" spans="1:7" ht="25.5" customHeight="1" x14ac:dyDescent="0.2">
      <c r="A18" s="70" t="s">
        <v>386</v>
      </c>
      <c r="B18" s="71"/>
      <c r="C18" s="71"/>
      <c r="D18" s="71"/>
      <c r="E18" s="71"/>
      <c r="F18" s="71"/>
      <c r="G18" s="72"/>
    </row>
    <row r="19" spans="1:7" ht="24" customHeight="1" x14ac:dyDescent="0.2">
      <c r="A19" s="44" t="s">
        <v>5</v>
      </c>
      <c r="B19" s="44" t="s">
        <v>378</v>
      </c>
      <c r="C19" s="44" t="s">
        <v>379</v>
      </c>
      <c r="D19" s="44" t="s">
        <v>380</v>
      </c>
      <c r="E19" s="44" t="s">
        <v>381</v>
      </c>
      <c r="F19" s="44" t="s">
        <v>382</v>
      </c>
      <c r="G19" s="44" t="s">
        <v>383</v>
      </c>
    </row>
    <row r="20" spans="1:7" ht="27.75" customHeight="1" x14ac:dyDescent="0.2">
      <c r="A20" s="41">
        <v>7</v>
      </c>
      <c r="B20" s="41"/>
      <c r="C20" s="41"/>
      <c r="D20" s="41"/>
      <c r="E20" s="41"/>
      <c r="F20" s="41"/>
    </row>
    <row r="21" spans="1:7" ht="27.75" customHeight="1" x14ac:dyDescent="0.2">
      <c r="A21" s="40">
        <v>8</v>
      </c>
      <c r="B21" s="40"/>
      <c r="C21" s="40"/>
      <c r="D21" s="40"/>
      <c r="E21" s="40"/>
      <c r="F21" s="40"/>
    </row>
    <row r="22" spans="1:7" ht="27.75" customHeight="1" x14ac:dyDescent="0.2">
      <c r="A22" s="41">
        <v>9</v>
      </c>
      <c r="B22" s="41"/>
      <c r="C22" s="41"/>
      <c r="D22" s="41"/>
      <c r="E22" s="41"/>
      <c r="F22" s="41"/>
    </row>
    <row r="23" spans="1:7" ht="7.5" customHeight="1" x14ac:dyDescent="0.2">
      <c r="A23" s="42"/>
      <c r="B23" s="42"/>
      <c r="C23" s="42"/>
      <c r="D23" s="42"/>
      <c r="E23" s="42"/>
      <c r="F23" s="42"/>
      <c r="G23" s="42"/>
    </row>
    <row r="24" spans="1:7" ht="25.5" customHeight="1" x14ac:dyDescent="0.2">
      <c r="A24" s="70" t="s">
        <v>387</v>
      </c>
      <c r="B24" s="71"/>
      <c r="C24" s="71"/>
      <c r="D24" s="71"/>
      <c r="E24" s="71"/>
      <c r="F24" s="71"/>
      <c r="G24" s="72"/>
    </row>
    <row r="25" spans="1:7" ht="24" customHeight="1" x14ac:dyDescent="0.2">
      <c r="A25" s="44" t="s">
        <v>5</v>
      </c>
      <c r="B25" s="44" t="s">
        <v>378</v>
      </c>
      <c r="C25" s="44" t="s">
        <v>379</v>
      </c>
      <c r="D25" s="44" t="s">
        <v>380</v>
      </c>
      <c r="E25" s="44" t="s">
        <v>381</v>
      </c>
      <c r="F25" s="44" t="s">
        <v>382</v>
      </c>
      <c r="G25" s="44" t="s">
        <v>383</v>
      </c>
    </row>
    <row r="26" spans="1:7" ht="27.75" customHeight="1" x14ac:dyDescent="0.2">
      <c r="A26" s="41">
        <v>10</v>
      </c>
      <c r="B26" s="41"/>
      <c r="C26" s="41"/>
      <c r="D26" s="41"/>
      <c r="E26" s="41"/>
      <c r="F26" s="41"/>
    </row>
    <row r="27" spans="1:7" ht="27.75" customHeight="1" x14ac:dyDescent="0.2">
      <c r="A27" s="40">
        <v>11</v>
      </c>
      <c r="B27" s="40"/>
      <c r="C27" s="40"/>
      <c r="D27" s="40"/>
      <c r="E27" s="40"/>
      <c r="F27" s="40"/>
    </row>
    <row r="28" spans="1:7" ht="7.5" customHeight="1" x14ac:dyDescent="0.2">
      <c r="A28" s="42"/>
      <c r="B28" s="42"/>
      <c r="C28" s="42"/>
      <c r="D28" s="42"/>
      <c r="E28" s="42"/>
      <c r="F28" s="42"/>
      <c r="G28" s="42"/>
    </row>
    <row r="29" spans="1:7" ht="36" customHeight="1" x14ac:dyDescent="0.2">
      <c r="A29" s="75" t="s">
        <v>388</v>
      </c>
      <c r="B29" s="71"/>
      <c r="C29" s="71"/>
      <c r="D29" s="71"/>
      <c r="E29" s="71"/>
      <c r="F29" s="71"/>
      <c r="G29" s="72"/>
    </row>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G18"/>
    <mergeCell ref="A24:G24"/>
    <mergeCell ref="A29:G29"/>
    <mergeCell ref="A1:G1"/>
    <mergeCell ref="A2:G2"/>
    <mergeCell ref="A3:G3"/>
    <mergeCell ref="A8:G8"/>
    <mergeCell ref="A13:G13"/>
  </mergeCells>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C2833"/>
  </sheetPr>
  <dimension ref="A1:G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9765625" customWidth="1"/>
    <col min="2" max="2" width="27.98046875" customWidth="1"/>
    <col min="3" max="3" width="18.0234375" customWidth="1"/>
    <col min="4" max="4" width="20.04296875" customWidth="1"/>
    <col min="5" max="5" width="18.0234375" customWidth="1"/>
    <col min="6" max="6" width="22.05859375" customWidth="1"/>
    <col min="7" max="7" width="27.98046875" customWidth="1"/>
    <col min="8" max="26" width="8.7421875" customWidth="1"/>
  </cols>
  <sheetData>
    <row r="1" spans="1:7" ht="39.75" customHeight="1" x14ac:dyDescent="0.2">
      <c r="A1" s="84" t="s">
        <v>389</v>
      </c>
      <c r="B1" s="64"/>
      <c r="C1" s="64"/>
      <c r="D1" s="64"/>
      <c r="E1" s="64"/>
      <c r="F1" s="64"/>
      <c r="G1" s="65"/>
    </row>
    <row r="2" spans="1:7" ht="27.75" customHeight="1" x14ac:dyDescent="0.2">
      <c r="A2" s="85" t="s">
        <v>390</v>
      </c>
      <c r="B2" s="71"/>
      <c r="C2" s="71"/>
      <c r="D2" s="71"/>
      <c r="E2" s="71"/>
      <c r="F2" s="71"/>
      <c r="G2" s="72"/>
    </row>
    <row r="3" spans="1:7" ht="27.75" customHeight="1" x14ac:dyDescent="0.2">
      <c r="A3" s="39" t="s">
        <v>5</v>
      </c>
      <c r="B3" s="39" t="s">
        <v>391</v>
      </c>
      <c r="C3" s="39" t="s">
        <v>392</v>
      </c>
      <c r="D3" s="39" t="s">
        <v>320</v>
      </c>
      <c r="E3" s="39" t="s">
        <v>393</v>
      </c>
      <c r="F3" s="39" t="s">
        <v>394</v>
      </c>
      <c r="G3" s="39" t="s">
        <v>395</v>
      </c>
    </row>
    <row r="4" spans="1:7" ht="43.5" customHeight="1" x14ac:dyDescent="0.2">
      <c r="A4" s="41">
        <v>1</v>
      </c>
      <c r="B4" s="41"/>
      <c r="C4" s="41"/>
      <c r="D4" s="41"/>
      <c r="E4" s="41"/>
      <c r="F4" s="41"/>
      <c r="G4" s="41"/>
    </row>
    <row r="5" spans="1:7" ht="43.5" customHeight="1" x14ac:dyDescent="0.2">
      <c r="A5" s="5">
        <v>2</v>
      </c>
      <c r="B5" s="5"/>
      <c r="C5" s="5"/>
      <c r="D5" s="5"/>
      <c r="E5" s="5"/>
      <c r="F5" s="5"/>
      <c r="G5" s="5"/>
    </row>
    <row r="6" spans="1:7" ht="43.5" customHeight="1" x14ac:dyDescent="0.2">
      <c r="A6" s="41">
        <v>3</v>
      </c>
      <c r="B6" s="41"/>
      <c r="C6" s="41"/>
      <c r="D6" s="41"/>
      <c r="E6" s="41"/>
      <c r="F6" s="41"/>
      <c r="G6" s="41"/>
    </row>
    <row r="7" spans="1:7" ht="43.5" customHeight="1" x14ac:dyDescent="0.2">
      <c r="A7" s="40">
        <v>4</v>
      </c>
      <c r="B7" s="40"/>
      <c r="C7" s="40"/>
      <c r="D7" s="40"/>
      <c r="E7" s="40"/>
      <c r="F7" s="40"/>
      <c r="G7" s="40"/>
    </row>
    <row r="8" spans="1:7" ht="43.5" customHeight="1" x14ac:dyDescent="0.2">
      <c r="A8" s="5">
        <v>5</v>
      </c>
      <c r="B8" s="5"/>
      <c r="C8" s="5"/>
      <c r="D8" s="5"/>
      <c r="E8" s="5"/>
      <c r="F8" s="5"/>
      <c r="G8" s="5"/>
    </row>
    <row r="9" spans="1:7" ht="43.5" customHeight="1" x14ac:dyDescent="0.2">
      <c r="A9" s="40">
        <v>6</v>
      </c>
      <c r="B9" s="40"/>
      <c r="C9" s="40"/>
      <c r="D9" s="40"/>
      <c r="E9" s="40"/>
      <c r="F9" s="40"/>
      <c r="G9" s="40"/>
    </row>
    <row r="10" spans="1:7" ht="43.5" customHeight="1" x14ac:dyDescent="0.2">
      <c r="A10" s="41">
        <v>7</v>
      </c>
      <c r="B10" s="41"/>
      <c r="C10" s="41"/>
      <c r="D10" s="41"/>
      <c r="E10" s="41"/>
      <c r="F10" s="41"/>
      <c r="G10" s="41"/>
    </row>
    <row r="11" spans="1:7" ht="12" customHeight="1" x14ac:dyDescent="0.2"/>
    <row r="12" spans="1:7" ht="43.5" customHeight="1" x14ac:dyDescent="0.2">
      <c r="A12" s="91" t="s">
        <v>396</v>
      </c>
      <c r="B12" s="71"/>
      <c r="C12" s="71"/>
      <c r="D12" s="71"/>
      <c r="E12" s="71"/>
      <c r="F12" s="71"/>
      <c r="G12" s="7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G1"/>
    <mergeCell ref="A2:G2"/>
    <mergeCell ref="A12:G12"/>
  </mergeCells>
  <pageMargins left="0.75" right="0.75" top="1" bottom="1"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E8449"/>
  </sheetPr>
  <dimension ref="A1:G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03515625" customWidth="1"/>
    <col min="2" max="2" width="22.05859375" customWidth="1"/>
    <col min="3" max="3" width="25.01953125" customWidth="1"/>
    <col min="4" max="6" width="22.05859375" customWidth="1"/>
    <col min="7" max="7" width="27.98046875" customWidth="1"/>
    <col min="8" max="26" width="8.7421875" customWidth="1"/>
  </cols>
  <sheetData>
    <row r="1" spans="1:7" ht="39.75" customHeight="1" x14ac:dyDescent="0.2">
      <c r="A1" s="84" t="s">
        <v>397</v>
      </c>
      <c r="B1" s="64"/>
      <c r="C1" s="64"/>
      <c r="D1" s="64"/>
      <c r="E1" s="64"/>
      <c r="F1" s="64"/>
      <c r="G1" s="65"/>
    </row>
    <row r="2" spans="1:7" ht="27.75" customHeight="1" x14ac:dyDescent="0.2">
      <c r="A2" s="85" t="s">
        <v>398</v>
      </c>
      <c r="B2" s="71"/>
      <c r="C2" s="71"/>
      <c r="D2" s="71"/>
      <c r="E2" s="71"/>
      <c r="F2" s="71"/>
      <c r="G2" s="72"/>
    </row>
    <row r="3" spans="1:7" ht="27.75" customHeight="1" x14ac:dyDescent="0.2">
      <c r="A3" s="39" t="s">
        <v>399</v>
      </c>
      <c r="B3" s="39" t="s">
        <v>400</v>
      </c>
      <c r="C3" s="39" t="s">
        <v>401</v>
      </c>
      <c r="D3" s="39" t="s">
        <v>402</v>
      </c>
      <c r="E3" s="39" t="s">
        <v>403</v>
      </c>
      <c r="F3" s="39" t="s">
        <v>404</v>
      </c>
      <c r="G3" s="39" t="s">
        <v>405</v>
      </c>
    </row>
    <row r="4" spans="1:7" ht="27.75" customHeight="1" x14ac:dyDescent="0.2">
      <c r="A4" s="5" t="s">
        <v>406</v>
      </c>
      <c r="B4" s="5" t="s">
        <v>407</v>
      </c>
      <c r="C4" s="5" t="s">
        <v>408</v>
      </c>
      <c r="D4" s="5" t="s">
        <v>409</v>
      </c>
      <c r="E4" s="5" t="s">
        <v>410</v>
      </c>
      <c r="F4" s="5" t="s">
        <v>411</v>
      </c>
      <c r="G4" s="5" t="s">
        <v>412</v>
      </c>
    </row>
    <row r="5" spans="1:7" ht="27.75" customHeight="1" x14ac:dyDescent="0.2">
      <c r="A5" s="5" t="s">
        <v>406</v>
      </c>
      <c r="B5" s="5" t="s">
        <v>413</v>
      </c>
      <c r="C5" s="5" t="s">
        <v>414</v>
      </c>
      <c r="D5" s="5" t="s">
        <v>409</v>
      </c>
      <c r="E5" s="5" t="s">
        <v>410</v>
      </c>
      <c r="F5" s="5" t="s">
        <v>415</v>
      </c>
      <c r="G5" s="5" t="s">
        <v>416</v>
      </c>
    </row>
    <row r="6" spans="1:7" ht="27.75" customHeight="1" x14ac:dyDescent="0.2">
      <c r="A6" s="48" t="s">
        <v>417</v>
      </c>
      <c r="B6" s="48" t="s">
        <v>418</v>
      </c>
      <c r="C6" s="48" t="s">
        <v>419</v>
      </c>
      <c r="D6" s="48" t="s">
        <v>409</v>
      </c>
      <c r="E6" s="48" t="s">
        <v>410</v>
      </c>
      <c r="F6" s="48" t="s">
        <v>420</v>
      </c>
      <c r="G6" s="48" t="s">
        <v>421</v>
      </c>
    </row>
    <row r="7" spans="1:7" ht="27.75" customHeight="1" x14ac:dyDescent="0.2">
      <c r="A7" s="48" t="s">
        <v>417</v>
      </c>
      <c r="B7" s="48" t="s">
        <v>422</v>
      </c>
      <c r="C7" s="48" t="s">
        <v>423</v>
      </c>
      <c r="D7" s="48" t="s">
        <v>409</v>
      </c>
      <c r="E7" s="48" t="s">
        <v>410</v>
      </c>
      <c r="F7" s="48" t="s">
        <v>420</v>
      </c>
      <c r="G7" s="48" t="s">
        <v>424</v>
      </c>
    </row>
    <row r="8" spans="1:7" ht="27.75" customHeight="1" x14ac:dyDescent="0.2">
      <c r="A8" s="7" t="s">
        <v>425</v>
      </c>
      <c r="B8" s="7" t="s">
        <v>426</v>
      </c>
      <c r="C8" s="7" t="s">
        <v>427</v>
      </c>
      <c r="D8" s="7" t="s">
        <v>409</v>
      </c>
      <c r="E8" s="7" t="s">
        <v>410</v>
      </c>
      <c r="F8" s="7" t="s">
        <v>428</v>
      </c>
      <c r="G8" s="7" t="s">
        <v>429</v>
      </c>
    </row>
    <row r="9" spans="1:7" ht="27.75" customHeight="1" x14ac:dyDescent="0.2">
      <c r="A9" s="7" t="s">
        <v>425</v>
      </c>
      <c r="B9" s="7" t="s">
        <v>430</v>
      </c>
      <c r="C9" s="7" t="s">
        <v>431</v>
      </c>
      <c r="D9" s="7" t="s">
        <v>409</v>
      </c>
      <c r="E9" s="7" t="s">
        <v>410</v>
      </c>
      <c r="F9" s="7" t="s">
        <v>200</v>
      </c>
      <c r="G9" s="7" t="s">
        <v>432</v>
      </c>
    </row>
    <row r="10" spans="1:7" ht="27.75" customHeight="1" x14ac:dyDescent="0.2">
      <c r="A10" s="41" t="s">
        <v>21</v>
      </c>
      <c r="B10" s="41" t="s">
        <v>433</v>
      </c>
      <c r="C10" s="41" t="s">
        <v>434</v>
      </c>
      <c r="D10" s="41" t="s">
        <v>409</v>
      </c>
      <c r="E10" s="41" t="s">
        <v>410</v>
      </c>
      <c r="F10" s="41" t="s">
        <v>435</v>
      </c>
      <c r="G10" s="41" t="s">
        <v>436</v>
      </c>
    </row>
    <row r="11" spans="1:7" ht="27.75" customHeight="1" x14ac:dyDescent="0.2">
      <c r="A11" s="40" t="s">
        <v>21</v>
      </c>
      <c r="B11" s="40" t="s">
        <v>437</v>
      </c>
      <c r="C11" s="40" t="s">
        <v>438</v>
      </c>
      <c r="D11" s="40" t="s">
        <v>409</v>
      </c>
      <c r="E11" s="40" t="s">
        <v>410</v>
      </c>
      <c r="F11" s="40" t="s">
        <v>439</v>
      </c>
      <c r="G11" s="40" t="s">
        <v>440</v>
      </c>
    </row>
    <row r="12" spans="1:7" ht="27.75" customHeight="1" x14ac:dyDescent="0.2">
      <c r="A12" s="41" t="s">
        <v>25</v>
      </c>
      <c r="B12" s="41" t="s">
        <v>441</v>
      </c>
      <c r="C12" s="41" t="s">
        <v>442</v>
      </c>
      <c r="D12" s="41" t="s">
        <v>409</v>
      </c>
      <c r="E12" s="41" t="s">
        <v>410</v>
      </c>
      <c r="F12" s="41" t="s">
        <v>443</v>
      </c>
      <c r="G12" s="41" t="s">
        <v>444</v>
      </c>
    </row>
    <row r="13" spans="1:7" ht="27.75" customHeight="1" x14ac:dyDescent="0.2">
      <c r="A13" s="40" t="s">
        <v>25</v>
      </c>
      <c r="B13" s="40" t="s">
        <v>445</v>
      </c>
      <c r="C13" s="40" t="s">
        <v>434</v>
      </c>
      <c r="D13" s="40" t="s">
        <v>409</v>
      </c>
      <c r="E13" s="40" t="s">
        <v>410</v>
      </c>
      <c r="F13" s="40" t="s">
        <v>446</v>
      </c>
      <c r="G13" s="40" t="s">
        <v>447</v>
      </c>
    </row>
    <row r="14" spans="1:7" ht="27.75" customHeight="1" x14ac:dyDescent="0.2">
      <c r="A14" s="41" t="s">
        <v>25</v>
      </c>
      <c r="B14" s="41" t="s">
        <v>448</v>
      </c>
      <c r="C14" s="41" t="s">
        <v>434</v>
      </c>
      <c r="D14" s="41" t="s">
        <v>409</v>
      </c>
      <c r="E14" s="41" t="s">
        <v>410</v>
      </c>
      <c r="F14" s="41" t="s">
        <v>446</v>
      </c>
      <c r="G14" s="41" t="s">
        <v>449</v>
      </c>
    </row>
    <row r="15" spans="1:7" ht="27.75" customHeight="1" x14ac:dyDescent="0.2">
      <c r="A15" s="40" t="s">
        <v>29</v>
      </c>
      <c r="B15" s="40" t="s">
        <v>450</v>
      </c>
      <c r="C15" s="40" t="s">
        <v>451</v>
      </c>
      <c r="D15" s="40" t="s">
        <v>409</v>
      </c>
      <c r="E15" s="40" t="s">
        <v>410</v>
      </c>
      <c r="F15" s="40" t="s">
        <v>452</v>
      </c>
      <c r="G15" s="40" t="s">
        <v>453</v>
      </c>
    </row>
    <row r="16" spans="1:7" ht="12" customHeight="1" x14ac:dyDescent="0.2"/>
    <row r="17" spans="1:7" ht="27.75" customHeight="1" x14ac:dyDescent="0.2">
      <c r="A17" s="75" t="s">
        <v>454</v>
      </c>
      <c r="B17" s="71"/>
      <c r="C17" s="71"/>
      <c r="D17" s="71"/>
      <c r="E17" s="71"/>
      <c r="F17" s="71"/>
      <c r="G17" s="72"/>
    </row>
    <row r="21" spans="1:7" ht="15.75" customHeight="1" x14ac:dyDescent="0.2"/>
    <row r="22" spans="1:7" ht="15.75" customHeight="1" x14ac:dyDescent="0.2"/>
    <row r="23" spans="1:7" ht="15.75" customHeight="1" x14ac:dyDescent="0.2"/>
    <row r="24" spans="1:7" ht="15.75" customHeight="1" x14ac:dyDescent="0.2"/>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G1"/>
    <mergeCell ref="A2:G2"/>
    <mergeCell ref="A17:G17"/>
  </mergeCells>
  <pageMargins left="0.75" right="0.75" top="1" bottom="1"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A2744"/>
  </sheetPr>
  <dimension ref="A1:D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4.9765625" customWidth="1"/>
    <col min="2" max="2" width="29.99609375" customWidth="1"/>
    <col min="3" max="3" width="55.01953125" customWidth="1"/>
    <col min="4" max="4" width="29.99609375" customWidth="1"/>
    <col min="5" max="26" width="8.7421875" customWidth="1"/>
  </cols>
  <sheetData>
    <row r="1" spans="1:4" ht="42" customHeight="1" x14ac:dyDescent="0.2">
      <c r="A1" s="84" t="s">
        <v>455</v>
      </c>
      <c r="B1" s="64"/>
      <c r="C1" s="64"/>
      <c r="D1" s="65"/>
    </row>
    <row r="2" spans="1:4" ht="12" customHeight="1" x14ac:dyDescent="0.2"/>
    <row r="3" spans="1:4" ht="27.75" customHeight="1" x14ac:dyDescent="0.2">
      <c r="A3" s="39" t="s">
        <v>456</v>
      </c>
      <c r="B3" s="39" t="s">
        <v>457</v>
      </c>
      <c r="C3" s="39" t="s">
        <v>458</v>
      </c>
      <c r="D3" s="39" t="s">
        <v>399</v>
      </c>
    </row>
    <row r="4" spans="1:4" ht="39.75" customHeight="1" x14ac:dyDescent="0.2">
      <c r="A4" s="49" t="s">
        <v>459</v>
      </c>
      <c r="B4" s="50" t="s">
        <v>460</v>
      </c>
      <c r="C4" s="50" t="s">
        <v>461</v>
      </c>
      <c r="D4" s="50" t="s">
        <v>462</v>
      </c>
    </row>
    <row r="5" spans="1:4" ht="39.75" customHeight="1" x14ac:dyDescent="0.2">
      <c r="A5" s="51" t="s">
        <v>463</v>
      </c>
      <c r="B5" s="48" t="s">
        <v>464</v>
      </c>
      <c r="C5" s="48" t="s">
        <v>465</v>
      </c>
      <c r="D5" s="48" t="s">
        <v>466</v>
      </c>
    </row>
    <row r="6" spans="1:4" ht="39.75" customHeight="1" x14ac:dyDescent="0.2">
      <c r="A6" s="52" t="s">
        <v>467</v>
      </c>
      <c r="B6" s="7" t="s">
        <v>468</v>
      </c>
      <c r="C6" s="7" t="s">
        <v>469</v>
      </c>
      <c r="D6" s="7" t="s">
        <v>470</v>
      </c>
    </row>
    <row r="7" spans="1:4" ht="39.75" customHeight="1" x14ac:dyDescent="0.2">
      <c r="A7" s="53" t="s">
        <v>471</v>
      </c>
      <c r="B7" s="40" t="s">
        <v>472</v>
      </c>
      <c r="C7" s="40" t="s">
        <v>473</v>
      </c>
      <c r="D7" s="40" t="s">
        <v>474</v>
      </c>
    </row>
    <row r="8" spans="1:4" ht="39.75" customHeight="1" x14ac:dyDescent="0.2">
      <c r="A8" s="54" t="s">
        <v>475</v>
      </c>
      <c r="B8" s="6" t="s">
        <v>476</v>
      </c>
      <c r="C8" s="6" t="s">
        <v>477</v>
      </c>
      <c r="D8" s="6" t="s">
        <v>478</v>
      </c>
    </row>
    <row r="9" spans="1:4" ht="39.75" customHeight="1" x14ac:dyDescent="0.2">
      <c r="A9" s="53" t="s">
        <v>479</v>
      </c>
      <c r="B9" s="40" t="s">
        <v>480</v>
      </c>
      <c r="C9" s="40" t="s">
        <v>481</v>
      </c>
      <c r="D9" s="40" t="s">
        <v>482</v>
      </c>
    </row>
    <row r="10" spans="1:4" ht="39.75" customHeight="1" x14ac:dyDescent="0.2">
      <c r="A10" s="54" t="s">
        <v>483</v>
      </c>
      <c r="B10" s="6" t="s">
        <v>484</v>
      </c>
      <c r="C10" s="6" t="s">
        <v>485</v>
      </c>
      <c r="D10" s="6" t="s">
        <v>486</v>
      </c>
    </row>
    <row r="11" spans="1:4" ht="39.75" customHeight="1" x14ac:dyDescent="0.2">
      <c r="A11" s="53" t="s">
        <v>487</v>
      </c>
      <c r="B11" s="40" t="s">
        <v>488</v>
      </c>
      <c r="C11" s="40" t="s">
        <v>489</v>
      </c>
      <c r="D11" s="40" t="s">
        <v>490</v>
      </c>
    </row>
    <row r="12" spans="1:4" ht="12" customHeight="1" x14ac:dyDescent="0.2"/>
    <row r="13" spans="1:4" ht="25.5" customHeight="1" x14ac:dyDescent="0.2">
      <c r="A13" s="86" t="s">
        <v>491</v>
      </c>
      <c r="B13" s="71"/>
      <c r="C13" s="71"/>
      <c r="D13" s="72"/>
    </row>
    <row r="14" spans="1:4" ht="24" customHeight="1" x14ac:dyDescent="0.2">
      <c r="A14" s="1" t="s">
        <v>492</v>
      </c>
      <c r="B14" s="1" t="s">
        <v>493</v>
      </c>
      <c r="C14" s="1" t="s">
        <v>494</v>
      </c>
      <c r="D14" s="1" t="s">
        <v>495</v>
      </c>
    </row>
    <row r="15" spans="1:4" ht="24" customHeight="1" x14ac:dyDescent="0.2">
      <c r="A15" s="40" t="s">
        <v>496</v>
      </c>
      <c r="B15" s="40" t="s">
        <v>497</v>
      </c>
      <c r="C15" s="40" t="s">
        <v>498</v>
      </c>
      <c r="D15" s="40" t="s">
        <v>499</v>
      </c>
    </row>
    <row r="16" spans="1:4" ht="24" customHeight="1" x14ac:dyDescent="0.2">
      <c r="A16" s="41" t="s">
        <v>500</v>
      </c>
      <c r="B16" s="41" t="s">
        <v>501</v>
      </c>
      <c r="C16" s="41" t="s">
        <v>502</v>
      </c>
      <c r="D16" s="41" t="s">
        <v>503</v>
      </c>
    </row>
    <row r="17" spans="1:4" ht="24" customHeight="1" x14ac:dyDescent="0.2">
      <c r="A17" s="40" t="s">
        <v>504</v>
      </c>
      <c r="B17" s="40" t="s">
        <v>505</v>
      </c>
      <c r="C17" s="40" t="s">
        <v>506</v>
      </c>
      <c r="D17" s="40" t="s">
        <v>507</v>
      </c>
    </row>
    <row r="18" spans="1:4" ht="24" customHeight="1" x14ac:dyDescent="0.2">
      <c r="A18" s="41" t="s">
        <v>508</v>
      </c>
      <c r="B18" s="41" t="s">
        <v>509</v>
      </c>
      <c r="C18" s="41" t="s">
        <v>510</v>
      </c>
      <c r="D18" s="41" t="s">
        <v>511</v>
      </c>
    </row>
    <row r="19" spans="1:4" ht="24" customHeight="1" x14ac:dyDescent="0.2">
      <c r="A19" s="40" t="s">
        <v>512</v>
      </c>
      <c r="B19" s="40" t="s">
        <v>513</v>
      </c>
      <c r="C19" s="40" t="s">
        <v>514</v>
      </c>
      <c r="D19" s="40" t="s">
        <v>511</v>
      </c>
    </row>
    <row r="21" spans="1:4" ht="15.75" customHeight="1" x14ac:dyDescent="0.2"/>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D1"/>
    <mergeCell ref="A13:D13"/>
  </mergeCells>
  <pageMargins left="0.75" right="0.75" top="1" bottom="1"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E8449"/>
  </sheetPr>
  <dimension ref="A1:F1000"/>
  <sheetViews>
    <sheetView showGridLines="0" workbookViewId="0">
      <pane ySplit="2" topLeftCell="A3" activePane="bottomLeft" state="frozen"/>
      <selection pane="bottomLeft" activeCell="B4" sqref="B4"/>
    </sheetView>
  </sheetViews>
  <sheetFormatPr defaultColWidth="14.390625" defaultRowHeight="15" customHeight="1" x14ac:dyDescent="0.2"/>
  <cols>
    <col min="1" max="1" width="6.05078125" customWidth="1"/>
    <col min="2" max="2" width="34.97265625" customWidth="1"/>
    <col min="3" max="3" width="18.0234375" customWidth="1"/>
    <col min="4" max="4" width="14.9296875" customWidth="1"/>
    <col min="5" max="5" width="20.04296875" customWidth="1"/>
    <col min="6" max="6" width="25.01953125" customWidth="1"/>
    <col min="7" max="26" width="8.7421875" customWidth="1"/>
  </cols>
  <sheetData>
    <row r="1" spans="1:6" ht="42" customHeight="1" x14ac:dyDescent="0.2">
      <c r="A1" s="84" t="s">
        <v>515</v>
      </c>
      <c r="B1" s="64"/>
      <c r="C1" s="64"/>
      <c r="D1" s="64"/>
      <c r="E1" s="64"/>
      <c r="F1" s="65"/>
    </row>
    <row r="2" spans="1:6" ht="27.75" customHeight="1" x14ac:dyDescent="0.2">
      <c r="A2" s="83" t="s">
        <v>516</v>
      </c>
      <c r="B2" s="71"/>
      <c r="C2" s="71"/>
      <c r="D2" s="71"/>
      <c r="E2" s="71"/>
      <c r="F2" s="72"/>
    </row>
    <row r="3" spans="1:6" ht="27.75" customHeight="1" x14ac:dyDescent="0.2">
      <c r="A3" s="39" t="s">
        <v>517</v>
      </c>
      <c r="B3" s="39" t="s">
        <v>518</v>
      </c>
      <c r="C3" s="39" t="s">
        <v>519</v>
      </c>
      <c r="D3" s="39" t="s">
        <v>520</v>
      </c>
      <c r="E3" s="39" t="s">
        <v>521</v>
      </c>
      <c r="F3" s="39" t="s">
        <v>522</v>
      </c>
    </row>
    <row r="4" spans="1:6" ht="24" customHeight="1" x14ac:dyDescent="0.2">
      <c r="A4" s="55" t="s">
        <v>523</v>
      </c>
      <c r="B4" s="56" t="s">
        <v>524</v>
      </c>
      <c r="C4" s="56" t="s">
        <v>14</v>
      </c>
      <c r="D4" s="56"/>
      <c r="E4" s="56"/>
      <c r="F4" s="56" t="s">
        <v>525</v>
      </c>
    </row>
    <row r="5" spans="1:6" ht="24" customHeight="1" x14ac:dyDescent="0.2">
      <c r="A5" s="55" t="s">
        <v>523</v>
      </c>
      <c r="B5" s="56" t="s">
        <v>526</v>
      </c>
      <c r="C5" s="56" t="s">
        <v>18</v>
      </c>
      <c r="D5" s="56"/>
      <c r="E5" s="56"/>
      <c r="F5" s="56" t="s">
        <v>527</v>
      </c>
    </row>
    <row r="6" spans="1:6" ht="24" customHeight="1" x14ac:dyDescent="0.2">
      <c r="A6" s="55" t="s">
        <v>523</v>
      </c>
      <c r="B6" s="56" t="s">
        <v>528</v>
      </c>
      <c r="C6" s="56" t="s">
        <v>30</v>
      </c>
      <c r="D6" s="56"/>
      <c r="E6" s="56"/>
      <c r="F6" s="56" t="s">
        <v>529</v>
      </c>
    </row>
    <row r="7" spans="1:6" ht="24" customHeight="1" x14ac:dyDescent="0.2">
      <c r="A7" s="55" t="s">
        <v>523</v>
      </c>
      <c r="B7" s="56" t="s">
        <v>530</v>
      </c>
      <c r="C7" s="56" t="s">
        <v>38</v>
      </c>
      <c r="D7" s="56"/>
      <c r="E7" s="56"/>
      <c r="F7" s="56" t="s">
        <v>531</v>
      </c>
    </row>
    <row r="8" spans="1:6" ht="24" customHeight="1" x14ac:dyDescent="0.2">
      <c r="A8" s="55" t="s">
        <v>523</v>
      </c>
      <c r="B8" s="56" t="s">
        <v>532</v>
      </c>
      <c r="C8" s="56" t="s">
        <v>34</v>
      </c>
      <c r="D8" s="56"/>
      <c r="E8" s="56"/>
      <c r="F8" s="56" t="s">
        <v>533</v>
      </c>
    </row>
    <row r="9" spans="1:6" ht="24" customHeight="1" x14ac:dyDescent="0.2">
      <c r="A9" s="55" t="s">
        <v>523</v>
      </c>
      <c r="B9" s="56" t="s">
        <v>534</v>
      </c>
      <c r="C9" s="56" t="s">
        <v>10</v>
      </c>
      <c r="D9" s="56"/>
      <c r="E9" s="56"/>
      <c r="F9" s="56" t="s">
        <v>535</v>
      </c>
    </row>
    <row r="10" spans="1:6" ht="24" customHeight="1" x14ac:dyDescent="0.2">
      <c r="A10" s="55" t="s">
        <v>523</v>
      </c>
      <c r="B10" s="56" t="s">
        <v>536</v>
      </c>
      <c r="C10" s="56" t="s">
        <v>10</v>
      </c>
      <c r="D10" s="56"/>
      <c r="E10" s="56"/>
      <c r="F10" s="56" t="s">
        <v>537</v>
      </c>
    </row>
    <row r="11" spans="1:6" ht="24" customHeight="1" x14ac:dyDescent="0.2">
      <c r="A11" s="57" t="s">
        <v>538</v>
      </c>
      <c r="B11" s="58" t="s">
        <v>539</v>
      </c>
      <c r="C11" s="58" t="s">
        <v>18</v>
      </c>
      <c r="D11" s="58"/>
      <c r="E11" s="58"/>
      <c r="F11" s="58" t="s">
        <v>540</v>
      </c>
    </row>
    <row r="12" spans="1:6" ht="24" customHeight="1" x14ac:dyDescent="0.2">
      <c r="A12" s="57" t="s">
        <v>538</v>
      </c>
      <c r="B12" s="58" t="s">
        <v>541</v>
      </c>
      <c r="C12" s="58" t="s">
        <v>22</v>
      </c>
      <c r="D12" s="58"/>
      <c r="E12" s="58"/>
      <c r="F12" s="58" t="s">
        <v>542</v>
      </c>
    </row>
    <row r="13" spans="1:6" ht="24" customHeight="1" x14ac:dyDescent="0.2">
      <c r="A13" s="57" t="s">
        <v>538</v>
      </c>
      <c r="B13" s="58" t="s">
        <v>543</v>
      </c>
      <c r="C13" s="58" t="s">
        <v>30</v>
      </c>
      <c r="D13" s="58"/>
      <c r="E13" s="58"/>
      <c r="F13" s="58" t="s">
        <v>544</v>
      </c>
    </row>
    <row r="14" spans="1:6" ht="24" customHeight="1" x14ac:dyDescent="0.2">
      <c r="A14" s="57" t="s">
        <v>538</v>
      </c>
      <c r="B14" s="58" t="s">
        <v>545</v>
      </c>
      <c r="C14" s="58" t="s">
        <v>46</v>
      </c>
      <c r="D14" s="58"/>
      <c r="E14" s="58"/>
      <c r="F14" s="58" t="s">
        <v>546</v>
      </c>
    </row>
    <row r="15" spans="1:6" ht="24" customHeight="1" x14ac:dyDescent="0.2">
      <c r="A15" s="57" t="s">
        <v>538</v>
      </c>
      <c r="B15" s="58" t="s">
        <v>547</v>
      </c>
      <c r="C15" s="58" t="s">
        <v>18</v>
      </c>
      <c r="D15" s="58"/>
      <c r="E15" s="58"/>
      <c r="F15" s="58" t="s">
        <v>548</v>
      </c>
    </row>
    <row r="16" spans="1:6" ht="24" customHeight="1" x14ac:dyDescent="0.2">
      <c r="A16" s="59" t="s">
        <v>549</v>
      </c>
      <c r="B16" s="60" t="s">
        <v>550</v>
      </c>
      <c r="C16" s="60" t="s">
        <v>10</v>
      </c>
      <c r="D16" s="60"/>
      <c r="E16" s="60"/>
      <c r="F16" s="60" t="s">
        <v>551</v>
      </c>
    </row>
    <row r="17" spans="1:6" ht="24" customHeight="1" x14ac:dyDescent="0.2">
      <c r="A17" s="59" t="s">
        <v>549</v>
      </c>
      <c r="B17" s="60" t="s">
        <v>552</v>
      </c>
      <c r="C17" s="60" t="s">
        <v>50</v>
      </c>
      <c r="D17" s="60"/>
      <c r="E17" s="60"/>
      <c r="F17" s="60" t="s">
        <v>553</v>
      </c>
    </row>
    <row r="18" spans="1:6" ht="24" customHeight="1" x14ac:dyDescent="0.2">
      <c r="A18" s="59" t="s">
        <v>549</v>
      </c>
      <c r="B18" s="60" t="s">
        <v>554</v>
      </c>
      <c r="C18" s="60" t="s">
        <v>50</v>
      </c>
      <c r="D18" s="60"/>
      <c r="E18" s="60"/>
      <c r="F18" s="60" t="s">
        <v>555</v>
      </c>
    </row>
    <row r="19" spans="1:6" ht="24" customHeight="1" x14ac:dyDescent="0.2">
      <c r="A19" s="59" t="s">
        <v>549</v>
      </c>
      <c r="B19" s="60" t="s">
        <v>556</v>
      </c>
      <c r="C19" s="60" t="s">
        <v>26</v>
      </c>
      <c r="D19" s="60"/>
      <c r="E19" s="60"/>
      <c r="F19" s="60" t="s">
        <v>557</v>
      </c>
    </row>
    <row r="20" spans="1:6" ht="24" customHeight="1" x14ac:dyDescent="0.2">
      <c r="A20" s="59" t="s">
        <v>549</v>
      </c>
      <c r="B20" s="60" t="s">
        <v>558</v>
      </c>
      <c r="C20" s="60" t="s">
        <v>54</v>
      </c>
      <c r="D20" s="60"/>
      <c r="E20" s="60"/>
      <c r="F20" s="60" t="s">
        <v>559</v>
      </c>
    </row>
    <row r="21" spans="1:6" ht="24" customHeight="1" x14ac:dyDescent="0.2">
      <c r="A21" s="59" t="s">
        <v>549</v>
      </c>
      <c r="B21" s="60" t="s">
        <v>560</v>
      </c>
      <c r="C21" s="60" t="s">
        <v>58</v>
      </c>
      <c r="D21" s="60"/>
      <c r="E21" s="60"/>
      <c r="F21" s="60" t="s">
        <v>561</v>
      </c>
    </row>
    <row r="22" spans="1:6" ht="24" customHeight="1" x14ac:dyDescent="0.2">
      <c r="A22" s="59" t="s">
        <v>549</v>
      </c>
      <c r="B22" s="60" t="s">
        <v>562</v>
      </c>
      <c r="C22" s="60" t="s">
        <v>58</v>
      </c>
      <c r="D22" s="60"/>
      <c r="E22" s="60"/>
      <c r="F22" s="60" t="s">
        <v>563</v>
      </c>
    </row>
    <row r="23" spans="1:6" ht="24" customHeight="1" x14ac:dyDescent="0.2">
      <c r="A23" s="59" t="s">
        <v>549</v>
      </c>
      <c r="B23" s="60" t="s">
        <v>564</v>
      </c>
      <c r="C23" s="60" t="s">
        <v>34</v>
      </c>
      <c r="D23" s="60"/>
      <c r="E23" s="60"/>
      <c r="F23" s="60" t="s">
        <v>565</v>
      </c>
    </row>
    <row r="24" spans="1:6" ht="24" customHeight="1" x14ac:dyDescent="0.2">
      <c r="A24" s="59" t="s">
        <v>549</v>
      </c>
      <c r="B24" s="60" t="s">
        <v>566</v>
      </c>
      <c r="C24" s="60" t="s">
        <v>22</v>
      </c>
      <c r="D24" s="60"/>
      <c r="E24" s="60"/>
      <c r="F24" s="60" t="s">
        <v>567</v>
      </c>
    </row>
    <row r="25" spans="1:6" ht="24" customHeight="1" x14ac:dyDescent="0.2">
      <c r="A25" s="59" t="s">
        <v>549</v>
      </c>
      <c r="B25" s="60" t="s">
        <v>568</v>
      </c>
      <c r="C25" s="60" t="s">
        <v>26</v>
      </c>
      <c r="D25" s="60"/>
      <c r="E25" s="60"/>
      <c r="F25" s="60" t="s">
        <v>569</v>
      </c>
    </row>
    <row r="26" spans="1:6" ht="24" customHeight="1" x14ac:dyDescent="0.2">
      <c r="A26" s="61" t="s">
        <v>570</v>
      </c>
      <c r="B26" s="62" t="s">
        <v>571</v>
      </c>
      <c r="C26" s="62" t="s">
        <v>572</v>
      </c>
      <c r="D26" s="62"/>
      <c r="E26" s="62"/>
      <c r="F26" s="62" t="s">
        <v>573</v>
      </c>
    </row>
    <row r="27" spans="1:6" ht="24" customHeight="1" x14ac:dyDescent="0.2">
      <c r="A27" s="61" t="s">
        <v>570</v>
      </c>
      <c r="B27" s="62" t="s">
        <v>574</v>
      </c>
      <c r="C27" s="62" t="s">
        <v>575</v>
      </c>
      <c r="D27" s="62"/>
      <c r="E27" s="62"/>
      <c r="F27" s="62" t="s">
        <v>576</v>
      </c>
    </row>
    <row r="28" spans="1:6" ht="24" customHeight="1" x14ac:dyDescent="0.2">
      <c r="A28" s="61" t="s">
        <v>570</v>
      </c>
      <c r="B28" s="62" t="s">
        <v>577</v>
      </c>
      <c r="C28" s="62" t="s">
        <v>50</v>
      </c>
      <c r="D28" s="62"/>
      <c r="E28" s="62"/>
      <c r="F28" s="62" t="s">
        <v>578</v>
      </c>
    </row>
    <row r="29" spans="1:6" ht="15.75" customHeight="1" x14ac:dyDescent="0.2"/>
    <row r="30" spans="1:6" ht="12" customHeight="1" x14ac:dyDescent="0.2"/>
    <row r="31" spans="1:6" ht="43.5" customHeight="1" x14ac:dyDescent="0.2">
      <c r="A31" s="91" t="s">
        <v>579</v>
      </c>
      <c r="B31" s="71"/>
      <c r="C31" s="71"/>
      <c r="D31" s="71"/>
      <c r="E31" s="71"/>
      <c r="F31" s="72"/>
    </row>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F1"/>
    <mergeCell ref="A2:F2"/>
    <mergeCell ref="A31:F3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15</vt:i4>
      </vt:variant>
    </vt:vector>
  </HeadingPairs>
  <TitlesOfParts>
    <vt:vector size="15" baseType="lpstr">
      <vt:lpstr>📋 HOW TO USE</vt:lpstr>
      <vt:lpstr>📊 NET WORTH DASHBOARD</vt:lpstr>
      <vt:lpstr>🏦 BANK ACCOUNTS</vt:lpstr>
      <vt:lpstr>📈 INVESTMENTS</vt:lpstr>
      <vt:lpstr>🏠 REAL ESTATE</vt:lpstr>
      <vt:lpstr>🏢 BUSINESS INTERESTS</vt:lpstr>
      <vt:lpstr>💳 LOANS &amp; LIABILITIES</vt:lpstr>
      <vt:lpstr>🛡️ INSURANCE POLICIES</vt:lpstr>
      <vt:lpstr>💰 CASH &amp; EMERGENCY FUNDS</vt:lpstr>
      <vt:lpstr>🔐 LOCKERS &amp; VALUABLES</vt:lpstr>
      <vt:lpstr>💻 DIGITAL ASSETS</vt:lpstr>
      <vt:lpstr>📜 LEGAL DOCUMENTS</vt:lpstr>
      <vt:lpstr>📞 KEY CONTACTS</vt:lpstr>
      <vt:lpstr>🔒 SECURITY GUIDE</vt:lpstr>
      <vt:lpstr>✅ UPDATE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2026-03-24T13:19:08Z</dcterms:created>
</cp:coreProperties>
</file>